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13_ncr:1_{E3DCBB6E-8CD1-4FE2-ABAA-A060A983AA29}" xr6:coauthVersionLast="47" xr6:coauthVersionMax="47" xr10:uidLastSave="{00000000-0000-0000-0000-000000000000}"/>
  <bookViews>
    <workbookView xWindow="-108" yWindow="-108" windowWidth="23256" windowHeight="12456" xr2:uid="{8E10D178-4A33-4780-A41D-DB67E7014A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3" i="1" l="1"/>
  <c r="E363" i="1" s="1"/>
  <c r="C364" i="1"/>
  <c r="E364" i="1" s="1"/>
  <c r="C365" i="1"/>
  <c r="E367" i="1"/>
  <c r="I367" i="1" s="1"/>
  <c r="J367" i="1" s="1"/>
  <c r="C368" i="1"/>
  <c r="E368" i="1" s="1"/>
  <c r="E365" i="1"/>
  <c r="I365" i="1" s="1"/>
  <c r="J365" i="1" s="1"/>
  <c r="E366" i="1"/>
  <c r="I366" i="1" s="1"/>
  <c r="J366" i="1" s="1"/>
  <c r="F363" i="1"/>
  <c r="F364" i="1"/>
  <c r="F365" i="1"/>
  <c r="F366" i="1"/>
  <c r="F367" i="1"/>
  <c r="F368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E344" i="1"/>
  <c r="I344" i="1" s="1"/>
  <c r="C361" i="1"/>
  <c r="E361" i="1" s="1"/>
  <c r="I361" i="1" s="1"/>
  <c r="C362" i="1"/>
  <c r="E362" i="1" s="1"/>
  <c r="I362" i="1" s="1"/>
  <c r="E343" i="1"/>
  <c r="I343" i="1" s="1"/>
  <c r="E345" i="1"/>
  <c r="E346" i="1"/>
  <c r="E347" i="1"/>
  <c r="E348" i="1"/>
  <c r="I348" i="1" s="1"/>
  <c r="E349" i="1"/>
  <c r="E350" i="1"/>
  <c r="E351" i="1"/>
  <c r="E352" i="1"/>
  <c r="I352" i="1" s="1"/>
  <c r="E353" i="1"/>
  <c r="E354" i="1"/>
  <c r="E355" i="1"/>
  <c r="E356" i="1"/>
  <c r="I356" i="1" s="1"/>
  <c r="E357" i="1"/>
  <c r="E358" i="1"/>
  <c r="E359" i="1"/>
  <c r="E360" i="1"/>
  <c r="I360" i="1" s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I345" i="1"/>
  <c r="I346" i="1"/>
  <c r="I347" i="1"/>
  <c r="I349" i="1"/>
  <c r="I350" i="1"/>
  <c r="I351" i="1"/>
  <c r="I353" i="1"/>
  <c r="I354" i="1"/>
  <c r="I355" i="1"/>
  <c r="I357" i="1"/>
  <c r="I358" i="1"/>
  <c r="I359" i="1"/>
  <c r="C342" i="1"/>
  <c r="E342" i="1" s="1"/>
  <c r="I342" i="1" s="1"/>
  <c r="J342" i="1" s="1"/>
  <c r="F342" i="1"/>
  <c r="J341" i="1"/>
  <c r="C341" i="1"/>
  <c r="E341" i="1" s="1"/>
  <c r="I341" i="1" s="1"/>
  <c r="F341" i="1"/>
  <c r="J330" i="1"/>
  <c r="J331" i="1"/>
  <c r="J332" i="1"/>
  <c r="J333" i="1"/>
  <c r="J334" i="1"/>
  <c r="J335" i="1"/>
  <c r="J336" i="1"/>
  <c r="J337" i="1"/>
  <c r="J338" i="1"/>
  <c r="J339" i="1"/>
  <c r="J340" i="1"/>
  <c r="E333" i="1"/>
  <c r="I333" i="1" s="1"/>
  <c r="E337" i="1"/>
  <c r="I337" i="1" s="1"/>
  <c r="C340" i="1"/>
  <c r="E330" i="1"/>
  <c r="I330" i="1" s="1"/>
  <c r="E331" i="1"/>
  <c r="I331" i="1" s="1"/>
  <c r="E332" i="1"/>
  <c r="I332" i="1" s="1"/>
  <c r="E334" i="1"/>
  <c r="I334" i="1" s="1"/>
  <c r="E335" i="1"/>
  <c r="I335" i="1" s="1"/>
  <c r="E336" i="1"/>
  <c r="I336" i="1" s="1"/>
  <c r="E338" i="1"/>
  <c r="I338" i="1" s="1"/>
  <c r="E339" i="1"/>
  <c r="I339" i="1" s="1"/>
  <c r="E340" i="1"/>
  <c r="I340" i="1" s="1"/>
  <c r="F330" i="1"/>
  <c r="F331" i="1"/>
  <c r="F332" i="1"/>
  <c r="F333" i="1"/>
  <c r="F334" i="1"/>
  <c r="F335" i="1"/>
  <c r="F336" i="1"/>
  <c r="F337" i="1"/>
  <c r="F338" i="1"/>
  <c r="F339" i="1"/>
  <c r="F340" i="1"/>
  <c r="E328" i="1"/>
  <c r="I328" i="1" s="1"/>
  <c r="J328" i="1" s="1"/>
  <c r="E329" i="1"/>
  <c r="I329" i="1" s="1"/>
  <c r="J329" i="1" s="1"/>
  <c r="F328" i="1"/>
  <c r="F329" i="1"/>
  <c r="J327" i="1"/>
  <c r="C327" i="1"/>
  <c r="E327" i="1" s="1"/>
  <c r="I327" i="1" s="1"/>
  <c r="F327" i="1"/>
  <c r="J324" i="1"/>
  <c r="J325" i="1"/>
  <c r="J326" i="1"/>
  <c r="E325" i="1"/>
  <c r="I325" i="1" s="1"/>
  <c r="C326" i="1"/>
  <c r="E326" i="1" s="1"/>
  <c r="I326" i="1" s="1"/>
  <c r="F325" i="1"/>
  <c r="F326" i="1"/>
  <c r="E324" i="1"/>
  <c r="I324" i="1" s="1"/>
  <c r="F324" i="1"/>
  <c r="J320" i="1"/>
  <c r="J323" i="1"/>
  <c r="E321" i="1"/>
  <c r="I321" i="1" s="1"/>
  <c r="J321" i="1" s="1"/>
  <c r="C323" i="1"/>
  <c r="E323" i="1" s="1"/>
  <c r="E322" i="1"/>
  <c r="I322" i="1" s="1"/>
  <c r="J322" i="1" s="1"/>
  <c r="F321" i="1"/>
  <c r="F322" i="1"/>
  <c r="F323" i="1"/>
  <c r="E320" i="1"/>
  <c r="I320" i="1" s="1"/>
  <c r="F320" i="1"/>
  <c r="C319" i="1"/>
  <c r="E319" i="1" s="1"/>
  <c r="E317" i="1"/>
  <c r="I317" i="1" s="1"/>
  <c r="J317" i="1" s="1"/>
  <c r="E318" i="1"/>
  <c r="F317" i="1"/>
  <c r="F318" i="1"/>
  <c r="F319" i="1"/>
  <c r="I318" i="1"/>
  <c r="J318" i="1" s="1"/>
  <c r="J316" i="1"/>
  <c r="C316" i="1"/>
  <c r="E316" i="1" s="1"/>
  <c r="F316" i="1"/>
  <c r="J315" i="1"/>
  <c r="C315" i="1"/>
  <c r="E315" i="1" s="1"/>
  <c r="I315" i="1" s="1"/>
  <c r="F315" i="1"/>
  <c r="J314" i="1"/>
  <c r="C314" i="1"/>
  <c r="E314" i="1" s="1"/>
  <c r="I314" i="1" s="1"/>
  <c r="F314" i="1"/>
  <c r="J313" i="1"/>
  <c r="C313" i="1"/>
  <c r="E313" i="1" s="1"/>
  <c r="I313" i="1" s="1"/>
  <c r="F313" i="1"/>
  <c r="J311" i="1"/>
  <c r="J312" i="1"/>
  <c r="C312" i="1"/>
  <c r="E311" i="1"/>
  <c r="E312" i="1"/>
  <c r="I312" i="1" s="1"/>
  <c r="F311" i="1"/>
  <c r="F312" i="1"/>
  <c r="I311" i="1"/>
  <c r="E310" i="1"/>
  <c r="I310" i="1" s="1"/>
  <c r="J310" i="1" s="1"/>
  <c r="F310" i="1"/>
  <c r="J309" i="1"/>
  <c r="C309" i="1"/>
  <c r="E309" i="1" s="1"/>
  <c r="I309" i="1" s="1"/>
  <c r="F309" i="1"/>
  <c r="J308" i="1"/>
  <c r="C308" i="1"/>
  <c r="E308" i="1" s="1"/>
  <c r="I308" i="1" s="1"/>
  <c r="F308" i="1"/>
  <c r="J307" i="1"/>
  <c r="C307" i="1"/>
  <c r="E307" i="1" s="1"/>
  <c r="F307" i="1"/>
  <c r="J306" i="1"/>
  <c r="C306" i="1"/>
  <c r="E306" i="1" s="1"/>
  <c r="I306" i="1" s="1"/>
  <c r="F306" i="1"/>
  <c r="J302" i="1"/>
  <c r="J305" i="1"/>
  <c r="E303" i="1"/>
  <c r="I303" i="1" s="1"/>
  <c r="J303" i="1" s="1"/>
  <c r="C305" i="1"/>
  <c r="E305" i="1" s="1"/>
  <c r="I305" i="1" s="1"/>
  <c r="E304" i="1"/>
  <c r="F303" i="1"/>
  <c r="F304" i="1"/>
  <c r="F305" i="1"/>
  <c r="I304" i="1"/>
  <c r="J304" i="1" s="1"/>
  <c r="E302" i="1"/>
  <c r="I302" i="1" s="1"/>
  <c r="F302" i="1"/>
  <c r="J301" i="1"/>
  <c r="C301" i="1"/>
  <c r="E301" i="1" s="1"/>
  <c r="I301" i="1" s="1"/>
  <c r="F301" i="1"/>
  <c r="J299" i="1"/>
  <c r="J300" i="1"/>
  <c r="C300" i="1"/>
  <c r="E300" i="1" s="1"/>
  <c r="I300" i="1" s="1"/>
  <c r="F300" i="1"/>
  <c r="C299" i="1"/>
  <c r="E299" i="1" s="1"/>
  <c r="F299" i="1"/>
  <c r="J297" i="1"/>
  <c r="J298" i="1"/>
  <c r="C298" i="1"/>
  <c r="E297" i="1"/>
  <c r="I297" i="1" s="1"/>
  <c r="E298" i="1"/>
  <c r="I298" i="1" s="1"/>
  <c r="F297" i="1"/>
  <c r="F298" i="1"/>
  <c r="E296" i="1"/>
  <c r="I296" i="1" s="1"/>
  <c r="J296" i="1" s="1"/>
  <c r="F296" i="1"/>
  <c r="J294" i="1"/>
  <c r="J295" i="1"/>
  <c r="E294" i="1"/>
  <c r="I294" i="1" s="1"/>
  <c r="C295" i="1"/>
  <c r="E295" i="1" s="1"/>
  <c r="F294" i="1"/>
  <c r="F295" i="1"/>
  <c r="J293" i="1"/>
  <c r="C293" i="1"/>
  <c r="E293" i="1" s="1"/>
  <c r="I293" i="1" s="1"/>
  <c r="F293" i="1"/>
  <c r="J292" i="1"/>
  <c r="C292" i="1"/>
  <c r="E292" i="1" s="1"/>
  <c r="I292" i="1" s="1"/>
  <c r="F292" i="1"/>
  <c r="J287" i="1"/>
  <c r="J288" i="1"/>
  <c r="J289" i="1"/>
  <c r="J290" i="1"/>
  <c r="J291" i="1"/>
  <c r="E289" i="1"/>
  <c r="I289" i="1" s="1"/>
  <c r="E290" i="1"/>
  <c r="I290" i="1" s="1"/>
  <c r="C291" i="1"/>
  <c r="E291" i="1"/>
  <c r="I291" i="1" s="1"/>
  <c r="F289" i="1"/>
  <c r="F290" i="1"/>
  <c r="F291" i="1"/>
  <c r="C288" i="1"/>
  <c r="E288" i="1" s="1"/>
  <c r="I288" i="1" s="1"/>
  <c r="F288" i="1"/>
  <c r="C287" i="1"/>
  <c r="E287" i="1" s="1"/>
  <c r="I287" i="1" s="1"/>
  <c r="F287" i="1"/>
  <c r="J282" i="1"/>
  <c r="J284" i="1"/>
  <c r="J285" i="1"/>
  <c r="J286" i="1"/>
  <c r="C286" i="1"/>
  <c r="E286" i="1" s="1"/>
  <c r="I286" i="1" s="1"/>
  <c r="F286" i="1"/>
  <c r="C285" i="1"/>
  <c r="E285" i="1" s="1"/>
  <c r="F285" i="1"/>
  <c r="E282" i="1"/>
  <c r="I282" i="1" s="1"/>
  <c r="E283" i="1"/>
  <c r="I283" i="1" s="1"/>
  <c r="J283" i="1" s="1"/>
  <c r="C284" i="1"/>
  <c r="E284" i="1"/>
  <c r="I284" i="1" s="1"/>
  <c r="F282" i="1"/>
  <c r="F283" i="1"/>
  <c r="F284" i="1"/>
  <c r="E281" i="1"/>
  <c r="I281" i="1" s="1"/>
  <c r="J281" i="1" s="1"/>
  <c r="F281" i="1"/>
  <c r="J280" i="1"/>
  <c r="C280" i="1"/>
  <c r="E280" i="1" s="1"/>
  <c r="I280" i="1" s="1"/>
  <c r="F280" i="1"/>
  <c r="J279" i="1"/>
  <c r="C279" i="1"/>
  <c r="E279" i="1" s="1"/>
  <c r="I279" i="1" s="1"/>
  <c r="F279" i="1"/>
  <c r="E278" i="1"/>
  <c r="I278" i="1" s="1"/>
  <c r="J278" i="1" s="1"/>
  <c r="F278" i="1"/>
  <c r="J272" i="1"/>
  <c r="J273" i="1"/>
  <c r="J274" i="1"/>
  <c r="J277" i="1"/>
  <c r="C277" i="1"/>
  <c r="E277" i="1" s="1"/>
  <c r="E275" i="1"/>
  <c r="I275" i="1" s="1"/>
  <c r="J275" i="1" s="1"/>
  <c r="E276" i="1"/>
  <c r="F275" i="1"/>
  <c r="F276" i="1"/>
  <c r="F277" i="1"/>
  <c r="C274" i="1"/>
  <c r="E274" i="1"/>
  <c r="I274" i="1" s="1"/>
  <c r="F274" i="1"/>
  <c r="E271" i="1"/>
  <c r="I271" i="1" s="1"/>
  <c r="J271" i="1" s="1"/>
  <c r="C272" i="1"/>
  <c r="E272" i="1" s="1"/>
  <c r="C273" i="1"/>
  <c r="E273" i="1"/>
  <c r="I273" i="1" s="1"/>
  <c r="F271" i="1"/>
  <c r="F272" i="1"/>
  <c r="F273" i="1"/>
  <c r="J270" i="1"/>
  <c r="E269" i="1"/>
  <c r="I269" i="1" s="1"/>
  <c r="J269" i="1" s="1"/>
  <c r="C270" i="1"/>
  <c r="E270" i="1"/>
  <c r="I270" i="1" s="1"/>
  <c r="F269" i="1"/>
  <c r="F270" i="1"/>
  <c r="E268" i="1"/>
  <c r="I268" i="1" s="1"/>
  <c r="J268" i="1" s="1"/>
  <c r="F268" i="1"/>
  <c r="J267" i="1"/>
  <c r="C267" i="1"/>
  <c r="E267" i="1" s="1"/>
  <c r="I267" i="1" s="1"/>
  <c r="F267" i="1"/>
  <c r="J266" i="1"/>
  <c r="C266" i="1"/>
  <c r="E266" i="1" s="1"/>
  <c r="I266" i="1" s="1"/>
  <c r="F266" i="1"/>
  <c r="J265" i="1"/>
  <c r="C265" i="1"/>
  <c r="E265" i="1" s="1"/>
  <c r="I265" i="1" s="1"/>
  <c r="F265" i="1"/>
  <c r="E264" i="1"/>
  <c r="I264" i="1" s="1"/>
  <c r="J264" i="1" s="1"/>
  <c r="F264" i="1"/>
  <c r="J263" i="1"/>
  <c r="E262" i="1"/>
  <c r="I262" i="1" s="1"/>
  <c r="J262" i="1" s="1"/>
  <c r="C263" i="1"/>
  <c r="E263" i="1" s="1"/>
  <c r="F262" i="1"/>
  <c r="F263" i="1"/>
  <c r="E261" i="1"/>
  <c r="I261" i="1" s="1"/>
  <c r="J261" i="1" s="1"/>
  <c r="F261" i="1"/>
  <c r="J260" i="1"/>
  <c r="C260" i="1"/>
  <c r="E260" i="1" s="1"/>
  <c r="I260" i="1" s="1"/>
  <c r="F260" i="1"/>
  <c r="J259" i="1"/>
  <c r="C259" i="1"/>
  <c r="E259" i="1" s="1"/>
  <c r="I259" i="1" s="1"/>
  <c r="F259" i="1"/>
  <c r="E258" i="1"/>
  <c r="I258" i="1" s="1"/>
  <c r="J258" i="1" s="1"/>
  <c r="F258" i="1"/>
  <c r="J257" i="1"/>
  <c r="C257" i="1"/>
  <c r="E257" i="1" s="1"/>
  <c r="I257" i="1" s="1"/>
  <c r="F257" i="1"/>
  <c r="J256" i="1"/>
  <c r="E255" i="1"/>
  <c r="I255" i="1" s="1"/>
  <c r="J255" i="1" s="1"/>
  <c r="C256" i="1"/>
  <c r="E256" i="1" s="1"/>
  <c r="I256" i="1" s="1"/>
  <c r="F255" i="1"/>
  <c r="F256" i="1"/>
  <c r="E254" i="1"/>
  <c r="I254" i="1" s="1"/>
  <c r="J254" i="1" s="1"/>
  <c r="F254" i="1"/>
  <c r="J253" i="1"/>
  <c r="C253" i="1"/>
  <c r="E253" i="1" s="1"/>
  <c r="I253" i="1" s="1"/>
  <c r="F253" i="1"/>
  <c r="J252" i="1"/>
  <c r="C252" i="1"/>
  <c r="E252" i="1" s="1"/>
  <c r="I252" i="1" s="1"/>
  <c r="F252" i="1"/>
  <c r="J250" i="1"/>
  <c r="J251" i="1"/>
  <c r="C251" i="1"/>
  <c r="E251" i="1" s="1"/>
  <c r="I251" i="1" s="1"/>
  <c r="F251" i="1"/>
  <c r="C250" i="1"/>
  <c r="E250" i="1"/>
  <c r="I250" i="1" s="1"/>
  <c r="F250" i="1"/>
  <c r="J248" i="1"/>
  <c r="J249" i="1"/>
  <c r="E248" i="1"/>
  <c r="I248" i="1" s="1"/>
  <c r="C249" i="1"/>
  <c r="E249" i="1" s="1"/>
  <c r="I249" i="1" s="1"/>
  <c r="F248" i="1"/>
  <c r="F249" i="1"/>
  <c r="E247" i="1"/>
  <c r="F247" i="1"/>
  <c r="I247" i="1"/>
  <c r="J247" i="1" s="1"/>
  <c r="J246" i="1"/>
  <c r="C246" i="1"/>
  <c r="E246" i="1" s="1"/>
  <c r="I246" i="1" s="1"/>
  <c r="F246" i="1"/>
  <c r="J245" i="1"/>
  <c r="C245" i="1"/>
  <c r="E245" i="1" s="1"/>
  <c r="I245" i="1" s="1"/>
  <c r="F245" i="1"/>
  <c r="J244" i="1"/>
  <c r="C244" i="1"/>
  <c r="E244" i="1" s="1"/>
  <c r="I244" i="1" s="1"/>
  <c r="F244" i="1"/>
  <c r="J243" i="1"/>
  <c r="C243" i="1"/>
  <c r="E243" i="1" s="1"/>
  <c r="I243" i="1" s="1"/>
  <c r="F243" i="1"/>
  <c r="J240" i="1"/>
  <c r="J241" i="1"/>
  <c r="J242" i="1"/>
  <c r="E241" i="1"/>
  <c r="I241" i="1" s="1"/>
  <c r="C242" i="1"/>
  <c r="E242" i="1" s="1"/>
  <c r="I242" i="1" s="1"/>
  <c r="F241" i="1"/>
  <c r="F242" i="1"/>
  <c r="E240" i="1"/>
  <c r="I240" i="1" s="1"/>
  <c r="F240" i="1"/>
  <c r="J238" i="1"/>
  <c r="C239" i="1"/>
  <c r="E239" i="1" s="1"/>
  <c r="I239" i="1" s="1"/>
  <c r="J239" i="1" s="1"/>
  <c r="F239" i="1"/>
  <c r="C238" i="1"/>
  <c r="E238" i="1" s="1"/>
  <c r="I238" i="1" s="1"/>
  <c r="F238" i="1"/>
  <c r="J237" i="1"/>
  <c r="C237" i="1"/>
  <c r="E237" i="1" s="1"/>
  <c r="I237" i="1" s="1"/>
  <c r="F237" i="1"/>
  <c r="J236" i="1"/>
  <c r="C236" i="1"/>
  <c r="E236" i="1" s="1"/>
  <c r="I236" i="1" s="1"/>
  <c r="F236" i="1"/>
  <c r="E235" i="1"/>
  <c r="I235" i="1" s="1"/>
  <c r="J235" i="1" s="1"/>
  <c r="F235" i="1"/>
  <c r="E234" i="1"/>
  <c r="I234" i="1" s="1"/>
  <c r="J234" i="1" s="1"/>
  <c r="F234" i="1"/>
  <c r="E233" i="1"/>
  <c r="I233" i="1" s="1"/>
  <c r="J233" i="1" s="1"/>
  <c r="F233" i="1"/>
  <c r="J232" i="1"/>
  <c r="C232" i="1"/>
  <c r="E232" i="1" s="1"/>
  <c r="F232" i="1"/>
  <c r="J231" i="1"/>
  <c r="C231" i="1"/>
  <c r="E231" i="1" s="1"/>
  <c r="I231" i="1" s="1"/>
  <c r="F231" i="1"/>
  <c r="J230" i="1"/>
  <c r="C230" i="1"/>
  <c r="E230" i="1" s="1"/>
  <c r="I230" i="1" s="1"/>
  <c r="F230" i="1"/>
  <c r="J227" i="1"/>
  <c r="J228" i="1"/>
  <c r="J229" i="1"/>
  <c r="C229" i="1"/>
  <c r="E229" i="1" s="1"/>
  <c r="I229" i="1" s="1"/>
  <c r="F229" i="1"/>
  <c r="C228" i="1"/>
  <c r="E228" i="1" s="1"/>
  <c r="I228" i="1" s="1"/>
  <c r="F228" i="1"/>
  <c r="E227" i="1"/>
  <c r="I227" i="1" s="1"/>
  <c r="F227" i="1"/>
  <c r="E226" i="1"/>
  <c r="I226" i="1" s="1"/>
  <c r="J226" i="1" s="1"/>
  <c r="F226" i="1"/>
  <c r="J225" i="1"/>
  <c r="C225" i="1"/>
  <c r="E225" i="1"/>
  <c r="I225" i="1" s="1"/>
  <c r="F225" i="1"/>
  <c r="J224" i="1"/>
  <c r="C224" i="1"/>
  <c r="E224" i="1" s="1"/>
  <c r="I224" i="1" s="1"/>
  <c r="F224" i="1"/>
  <c r="C223" i="1"/>
  <c r="E223" i="1" s="1"/>
  <c r="F223" i="1"/>
  <c r="J222" i="1"/>
  <c r="C222" i="1"/>
  <c r="E222" i="1" s="1"/>
  <c r="I222" i="1" s="1"/>
  <c r="F222" i="1"/>
  <c r="J221" i="1"/>
  <c r="C221" i="1"/>
  <c r="E221" i="1" s="1"/>
  <c r="I221" i="1" s="1"/>
  <c r="F221" i="1"/>
  <c r="E220" i="1"/>
  <c r="I220" i="1" s="1"/>
  <c r="J220" i="1" s="1"/>
  <c r="F220" i="1"/>
  <c r="E219" i="1"/>
  <c r="I219" i="1" s="1"/>
  <c r="J219" i="1" s="1"/>
  <c r="F219" i="1"/>
  <c r="J218" i="1"/>
  <c r="C218" i="1"/>
  <c r="E218" i="1" s="1"/>
  <c r="I218" i="1" s="1"/>
  <c r="F218" i="1"/>
  <c r="J217" i="1"/>
  <c r="C217" i="1"/>
  <c r="E217" i="1" s="1"/>
  <c r="I217" i="1" s="1"/>
  <c r="F217" i="1"/>
  <c r="J216" i="1"/>
  <c r="C216" i="1"/>
  <c r="E216" i="1" s="1"/>
  <c r="I216" i="1" s="1"/>
  <c r="F216" i="1"/>
  <c r="J215" i="1"/>
  <c r="C215" i="1"/>
  <c r="E215" i="1"/>
  <c r="F215" i="1"/>
  <c r="J214" i="1"/>
  <c r="C214" i="1"/>
  <c r="E214" i="1" s="1"/>
  <c r="I214" i="1" s="1"/>
  <c r="F214" i="1"/>
  <c r="E213" i="1"/>
  <c r="I213" i="1" s="1"/>
  <c r="J213" i="1" s="1"/>
  <c r="F213" i="1"/>
  <c r="E212" i="1"/>
  <c r="I212" i="1" s="1"/>
  <c r="J212" i="1" s="1"/>
  <c r="F212" i="1"/>
  <c r="J211" i="1"/>
  <c r="C211" i="1"/>
  <c r="E211" i="1" s="1"/>
  <c r="I211" i="1" s="1"/>
  <c r="F211" i="1"/>
  <c r="J210" i="1"/>
  <c r="C210" i="1"/>
  <c r="E210" i="1" s="1"/>
  <c r="I210" i="1" s="1"/>
  <c r="F210" i="1"/>
  <c r="J209" i="1"/>
  <c r="C209" i="1"/>
  <c r="E209" i="1" s="1"/>
  <c r="I209" i="1" s="1"/>
  <c r="F209" i="1"/>
  <c r="J208" i="1"/>
  <c r="C208" i="1"/>
  <c r="E208" i="1" s="1"/>
  <c r="I208" i="1" s="1"/>
  <c r="F208" i="1"/>
  <c r="J207" i="1"/>
  <c r="E206" i="1"/>
  <c r="I206" i="1" s="1"/>
  <c r="J206" i="1" s="1"/>
  <c r="C207" i="1"/>
  <c r="E207" i="1" s="1"/>
  <c r="F206" i="1"/>
  <c r="F207" i="1"/>
  <c r="E205" i="1"/>
  <c r="I205" i="1" s="1"/>
  <c r="J205" i="1" s="1"/>
  <c r="F205" i="1"/>
  <c r="J204" i="1"/>
  <c r="C204" i="1"/>
  <c r="E204" i="1" s="1"/>
  <c r="I204" i="1" s="1"/>
  <c r="F204" i="1"/>
  <c r="J203" i="1"/>
  <c r="C203" i="1"/>
  <c r="E203" i="1" s="1"/>
  <c r="I203" i="1" s="1"/>
  <c r="F203" i="1"/>
  <c r="J202" i="1"/>
  <c r="C202" i="1"/>
  <c r="E202" i="1" s="1"/>
  <c r="I202" i="1" s="1"/>
  <c r="F202" i="1"/>
  <c r="J201" i="1"/>
  <c r="C201" i="1"/>
  <c r="E201" i="1" s="1"/>
  <c r="I201" i="1" s="1"/>
  <c r="F201" i="1"/>
  <c r="J200" i="1"/>
  <c r="C200" i="1"/>
  <c r="E200" i="1" s="1"/>
  <c r="I200" i="1" s="1"/>
  <c r="F200" i="1"/>
  <c r="E199" i="1"/>
  <c r="I199" i="1" s="1"/>
  <c r="J199" i="1" s="1"/>
  <c r="F199" i="1"/>
  <c r="E198" i="1"/>
  <c r="F198" i="1"/>
  <c r="I198" i="1"/>
  <c r="J198" i="1" s="1"/>
  <c r="J197" i="1"/>
  <c r="C197" i="1"/>
  <c r="E197" i="1"/>
  <c r="I197" i="1" s="1"/>
  <c r="F197" i="1"/>
  <c r="J196" i="1"/>
  <c r="C196" i="1"/>
  <c r="E196" i="1"/>
  <c r="I196" i="1" s="1"/>
  <c r="F196" i="1"/>
  <c r="J195" i="1"/>
  <c r="C195" i="1"/>
  <c r="E195" i="1" s="1"/>
  <c r="I195" i="1" s="1"/>
  <c r="F195" i="1"/>
  <c r="C194" i="1"/>
  <c r="E194" i="1" s="1"/>
  <c r="I194" i="1" s="1"/>
  <c r="J194" i="1" s="1"/>
  <c r="F194" i="1"/>
  <c r="J6" i="1"/>
  <c r="J193" i="1"/>
  <c r="C193" i="1"/>
  <c r="E193" i="1" s="1"/>
  <c r="I193" i="1" s="1"/>
  <c r="F193" i="1"/>
  <c r="E192" i="1"/>
  <c r="F192" i="1"/>
  <c r="E191" i="1"/>
  <c r="I191" i="1" s="1"/>
  <c r="J191" i="1" s="1"/>
  <c r="F191" i="1"/>
  <c r="C190" i="1"/>
  <c r="E190" i="1" s="1"/>
  <c r="F190" i="1"/>
  <c r="C189" i="1"/>
  <c r="E189" i="1" s="1"/>
  <c r="F189" i="1"/>
  <c r="C188" i="1"/>
  <c r="E188" i="1"/>
  <c r="I188" i="1" s="1"/>
  <c r="J188" i="1" s="1"/>
  <c r="F188" i="1"/>
  <c r="C187" i="1"/>
  <c r="E187" i="1" s="1"/>
  <c r="F187" i="1"/>
  <c r="C186" i="1"/>
  <c r="E186" i="1" s="1"/>
  <c r="F186" i="1"/>
  <c r="E185" i="1"/>
  <c r="F185" i="1"/>
  <c r="E184" i="1"/>
  <c r="F184" i="1"/>
  <c r="F183" i="1"/>
  <c r="C183" i="1"/>
  <c r="E183" i="1" s="1"/>
  <c r="J161" i="1"/>
  <c r="J160" i="1"/>
  <c r="F182" i="1"/>
  <c r="E182" i="1"/>
  <c r="C182" i="1"/>
  <c r="F181" i="1"/>
  <c r="C181" i="1"/>
  <c r="E181" i="1" s="1"/>
  <c r="I181" i="1" s="1"/>
  <c r="J181" i="1" s="1"/>
  <c r="F180" i="1"/>
  <c r="C180" i="1"/>
  <c r="E180" i="1" s="1"/>
  <c r="F179" i="1"/>
  <c r="C179" i="1"/>
  <c r="E179" i="1" s="1"/>
  <c r="I179" i="1" s="1"/>
  <c r="J179" i="1" s="1"/>
  <c r="F178" i="1"/>
  <c r="E178" i="1"/>
  <c r="F177" i="1"/>
  <c r="E177" i="1"/>
  <c r="I177" i="1" s="1"/>
  <c r="J177" i="1" s="1"/>
  <c r="F176" i="1"/>
  <c r="C176" i="1"/>
  <c r="E176" i="1" s="1"/>
  <c r="I176" i="1" s="1"/>
  <c r="J176" i="1" s="1"/>
  <c r="F175" i="1"/>
  <c r="C175" i="1"/>
  <c r="E175" i="1" s="1"/>
  <c r="I175" i="1" s="1"/>
  <c r="J175" i="1" s="1"/>
  <c r="F174" i="1"/>
  <c r="C174" i="1"/>
  <c r="E174" i="1" s="1"/>
  <c r="I174" i="1" s="1"/>
  <c r="J174" i="1" s="1"/>
  <c r="F173" i="1"/>
  <c r="C173" i="1"/>
  <c r="E173" i="1" s="1"/>
  <c r="F172" i="1"/>
  <c r="C172" i="1"/>
  <c r="E172" i="1" s="1"/>
  <c r="I172" i="1" s="1"/>
  <c r="J172" i="1" s="1"/>
  <c r="F171" i="1"/>
  <c r="E171" i="1"/>
  <c r="F170" i="1"/>
  <c r="E170" i="1"/>
  <c r="I170" i="1" s="1"/>
  <c r="J170" i="1" s="1"/>
  <c r="F169" i="1"/>
  <c r="C169" i="1"/>
  <c r="E169" i="1" s="1"/>
  <c r="I169" i="1" s="1"/>
  <c r="J169" i="1" s="1"/>
  <c r="F168" i="1"/>
  <c r="C168" i="1"/>
  <c r="E168" i="1" s="1"/>
  <c r="I168" i="1" s="1"/>
  <c r="J168" i="1" s="1"/>
  <c r="F167" i="1"/>
  <c r="C167" i="1"/>
  <c r="E167" i="1" s="1"/>
  <c r="I167" i="1" s="1"/>
  <c r="J167" i="1" s="1"/>
  <c r="F166" i="1"/>
  <c r="C166" i="1"/>
  <c r="E166" i="1" s="1"/>
  <c r="I166" i="1" s="1"/>
  <c r="J166" i="1" s="1"/>
  <c r="F165" i="1"/>
  <c r="C165" i="1"/>
  <c r="E165" i="1" s="1"/>
  <c r="F164" i="1"/>
  <c r="E164" i="1"/>
  <c r="F163" i="1"/>
  <c r="E163" i="1"/>
  <c r="F162" i="1"/>
  <c r="C162" i="1"/>
  <c r="E162" i="1" s="1"/>
  <c r="F159" i="1"/>
  <c r="C159" i="1"/>
  <c r="E159" i="1" s="1"/>
  <c r="F158" i="1"/>
  <c r="C158" i="1"/>
  <c r="E158" i="1" s="1"/>
  <c r="I158" i="1" s="1"/>
  <c r="J158" i="1" s="1"/>
  <c r="F157" i="1"/>
  <c r="E157" i="1"/>
  <c r="F156" i="1"/>
  <c r="E156" i="1"/>
  <c r="I156" i="1" s="1"/>
  <c r="J156" i="1" s="1"/>
  <c r="F155" i="1"/>
  <c r="C155" i="1"/>
  <c r="E155" i="1" s="1"/>
  <c r="F154" i="1"/>
  <c r="C154" i="1"/>
  <c r="E154" i="1" s="1"/>
  <c r="I154" i="1" s="1"/>
  <c r="J154" i="1" s="1"/>
  <c r="F153" i="1"/>
  <c r="C153" i="1"/>
  <c r="E153" i="1" s="1"/>
  <c r="F152" i="1"/>
  <c r="C152" i="1"/>
  <c r="E152" i="1" s="1"/>
  <c r="I152" i="1" s="1"/>
  <c r="J152" i="1" s="1"/>
  <c r="F151" i="1"/>
  <c r="E151" i="1"/>
  <c r="I151" i="1" s="1"/>
  <c r="J151" i="1" s="1"/>
  <c r="C151" i="1"/>
  <c r="F150" i="1"/>
  <c r="E150" i="1"/>
  <c r="F149" i="1"/>
  <c r="C149" i="1"/>
  <c r="E149" i="1" s="1"/>
  <c r="F148" i="1"/>
  <c r="C148" i="1"/>
  <c r="E148" i="1" s="1"/>
  <c r="I148" i="1" s="1"/>
  <c r="J148" i="1" s="1"/>
  <c r="F147" i="1"/>
  <c r="C147" i="1"/>
  <c r="E147" i="1" s="1"/>
  <c r="F146" i="1"/>
  <c r="C146" i="1"/>
  <c r="E146" i="1" s="1"/>
  <c r="F145" i="1"/>
  <c r="C145" i="1"/>
  <c r="E145" i="1" s="1"/>
  <c r="F144" i="1"/>
  <c r="C144" i="1"/>
  <c r="E144" i="1" s="1"/>
  <c r="F143" i="1"/>
  <c r="E143" i="1"/>
  <c r="F142" i="1"/>
  <c r="E142" i="1"/>
  <c r="F141" i="1"/>
  <c r="C141" i="1"/>
  <c r="E141" i="1" s="1"/>
  <c r="F140" i="1"/>
  <c r="C140" i="1"/>
  <c r="E140" i="1" s="1"/>
  <c r="F139" i="1"/>
  <c r="E139" i="1"/>
  <c r="C139" i="1"/>
  <c r="F138" i="1"/>
  <c r="C138" i="1"/>
  <c r="E138" i="1" s="1"/>
  <c r="I138" i="1" s="1"/>
  <c r="J138" i="1" s="1"/>
  <c r="F137" i="1"/>
  <c r="C137" i="1"/>
  <c r="E137" i="1" s="1"/>
  <c r="F136" i="1"/>
  <c r="E136" i="1"/>
  <c r="I136" i="1" s="1"/>
  <c r="J136" i="1" s="1"/>
  <c r="F135" i="1"/>
  <c r="E135" i="1"/>
  <c r="F134" i="1"/>
  <c r="C134" i="1"/>
  <c r="E134" i="1" s="1"/>
  <c r="F133" i="1"/>
  <c r="C133" i="1"/>
  <c r="E133" i="1" s="1"/>
  <c r="F132" i="1"/>
  <c r="C132" i="1"/>
  <c r="E132" i="1" s="1"/>
  <c r="F131" i="1"/>
  <c r="C131" i="1"/>
  <c r="E131" i="1" s="1"/>
  <c r="I131" i="1" s="1"/>
  <c r="J131" i="1" s="1"/>
  <c r="F130" i="1"/>
  <c r="C130" i="1"/>
  <c r="E130" i="1" s="1"/>
  <c r="F129" i="1"/>
  <c r="E129" i="1"/>
  <c r="I129" i="1" s="1"/>
  <c r="J129" i="1" s="1"/>
  <c r="F128" i="1"/>
  <c r="E128" i="1"/>
  <c r="F127" i="1"/>
  <c r="E127" i="1"/>
  <c r="I127" i="1" s="1"/>
  <c r="J127" i="1" s="1"/>
  <c r="F126" i="1"/>
  <c r="C126" i="1"/>
  <c r="E126" i="1" s="1"/>
  <c r="F125" i="1"/>
  <c r="C125" i="1"/>
  <c r="E125" i="1" s="1"/>
  <c r="I125" i="1" s="1"/>
  <c r="J125" i="1" s="1"/>
  <c r="F124" i="1"/>
  <c r="C124" i="1"/>
  <c r="E124" i="1" s="1"/>
  <c r="F123" i="1"/>
  <c r="C123" i="1"/>
  <c r="E123" i="1" s="1"/>
  <c r="I123" i="1" s="1"/>
  <c r="J123" i="1" s="1"/>
  <c r="F122" i="1"/>
  <c r="E122" i="1"/>
  <c r="I122" i="1" s="1"/>
  <c r="J122" i="1" s="1"/>
  <c r="J95" i="1"/>
  <c r="F121" i="1"/>
  <c r="E121" i="1"/>
  <c r="I121" i="1" s="1"/>
  <c r="J121" i="1" s="1"/>
  <c r="F120" i="1"/>
  <c r="C120" i="1"/>
  <c r="E120" i="1" s="1"/>
  <c r="F119" i="1"/>
  <c r="C119" i="1"/>
  <c r="E119" i="1" s="1"/>
  <c r="I119" i="1" s="1"/>
  <c r="J119" i="1" s="1"/>
  <c r="F118" i="1"/>
  <c r="C118" i="1"/>
  <c r="E118" i="1" s="1"/>
  <c r="I118" i="1" s="1"/>
  <c r="J118" i="1" s="1"/>
  <c r="F117" i="1"/>
  <c r="E117" i="1"/>
  <c r="I117" i="1" s="1"/>
  <c r="J117" i="1" s="1"/>
  <c r="F116" i="1"/>
  <c r="C116" i="1"/>
  <c r="E116" i="1" s="1"/>
  <c r="F115" i="1"/>
  <c r="E115" i="1"/>
  <c r="I115" i="1" s="1"/>
  <c r="J115" i="1" s="1"/>
  <c r="F114" i="1"/>
  <c r="E114" i="1"/>
  <c r="I114" i="1" s="1"/>
  <c r="J114" i="1" s="1"/>
  <c r="F113" i="1"/>
  <c r="E113" i="1"/>
  <c r="I113" i="1" s="1"/>
  <c r="J113" i="1" s="1"/>
  <c r="C113" i="1"/>
  <c r="F112" i="1"/>
  <c r="C112" i="1"/>
  <c r="E112" i="1" s="1"/>
  <c r="F111" i="1"/>
  <c r="C111" i="1"/>
  <c r="E111" i="1" s="1"/>
  <c r="F110" i="1"/>
  <c r="C110" i="1"/>
  <c r="E110" i="1" s="1"/>
  <c r="I110" i="1" s="1"/>
  <c r="J110" i="1" s="1"/>
  <c r="F109" i="1"/>
  <c r="C109" i="1"/>
  <c r="E109" i="1" s="1"/>
  <c r="F108" i="1"/>
  <c r="E108" i="1"/>
  <c r="F107" i="1"/>
  <c r="E107" i="1"/>
  <c r="F106" i="1"/>
  <c r="C106" i="1"/>
  <c r="E106" i="1" s="1"/>
  <c r="F105" i="1"/>
  <c r="C105" i="1"/>
  <c r="E105" i="1" s="1"/>
  <c r="F104" i="1"/>
  <c r="C104" i="1"/>
  <c r="E104" i="1" s="1"/>
  <c r="I104" i="1" s="1"/>
  <c r="J104" i="1" s="1"/>
  <c r="F103" i="1"/>
  <c r="C103" i="1"/>
  <c r="E103" i="1" s="1"/>
  <c r="F102" i="1"/>
  <c r="C102" i="1"/>
  <c r="E102" i="1" s="1"/>
  <c r="I102" i="1" s="1"/>
  <c r="J102" i="1" s="1"/>
  <c r="F101" i="1"/>
  <c r="E101" i="1"/>
  <c r="I101" i="1" s="1"/>
  <c r="J101" i="1" s="1"/>
  <c r="F100" i="1"/>
  <c r="E100" i="1"/>
  <c r="I100" i="1" s="1"/>
  <c r="J100" i="1" s="1"/>
  <c r="F99" i="1"/>
  <c r="C99" i="1"/>
  <c r="E99" i="1" s="1"/>
  <c r="F98" i="1"/>
  <c r="C98" i="1"/>
  <c r="E98" i="1" s="1"/>
  <c r="I98" i="1" s="1"/>
  <c r="J98" i="1" s="1"/>
  <c r="F97" i="1"/>
  <c r="C97" i="1"/>
  <c r="E97" i="1" s="1"/>
  <c r="I97" i="1" s="1"/>
  <c r="J97" i="1" s="1"/>
  <c r="F96" i="1"/>
  <c r="C96" i="1"/>
  <c r="E96" i="1" s="1"/>
  <c r="I96" i="1" s="1"/>
  <c r="J96" i="1" s="1"/>
  <c r="F95" i="1"/>
  <c r="C95" i="1"/>
  <c r="E95" i="1" s="1"/>
  <c r="I95" i="1" s="1"/>
  <c r="F94" i="1"/>
  <c r="E94" i="1"/>
  <c r="I94" i="1" s="1"/>
  <c r="J94" i="1" s="1"/>
  <c r="F93" i="1"/>
  <c r="E93" i="1"/>
  <c r="I93" i="1" s="1"/>
  <c r="J93" i="1" s="1"/>
  <c r="F92" i="1"/>
  <c r="E92" i="1"/>
  <c r="F91" i="1"/>
  <c r="E91" i="1"/>
  <c r="I91" i="1" s="1"/>
  <c r="J91" i="1" s="1"/>
  <c r="F90" i="1"/>
  <c r="C90" i="1"/>
  <c r="E90" i="1" s="1"/>
  <c r="I90" i="1" s="1"/>
  <c r="J90" i="1" s="1"/>
  <c r="F89" i="1"/>
  <c r="C89" i="1"/>
  <c r="E89" i="1" s="1"/>
  <c r="F88" i="1"/>
  <c r="C88" i="1"/>
  <c r="E88" i="1" s="1"/>
  <c r="J87" i="1"/>
  <c r="J86" i="1"/>
  <c r="F85" i="1"/>
  <c r="C85" i="1"/>
  <c r="E85" i="1" s="1"/>
  <c r="F84" i="1"/>
  <c r="C84" i="1"/>
  <c r="E84" i="1" s="1"/>
  <c r="I84" i="1" s="1"/>
  <c r="J84" i="1" s="1"/>
  <c r="F83" i="1"/>
  <c r="C83" i="1"/>
  <c r="E83" i="1" s="1"/>
  <c r="F82" i="1"/>
  <c r="C82" i="1"/>
  <c r="E82" i="1" s="1"/>
  <c r="I82" i="1" s="1"/>
  <c r="J82" i="1" s="1"/>
  <c r="J80" i="1"/>
  <c r="F79" i="1"/>
  <c r="C79" i="1"/>
  <c r="E79" i="1" s="1"/>
  <c r="I79" i="1" s="1"/>
  <c r="J79" i="1" s="1"/>
  <c r="J78" i="1"/>
  <c r="F77" i="1"/>
  <c r="C77" i="1"/>
  <c r="E77" i="1" s="1"/>
  <c r="F76" i="1"/>
  <c r="C76" i="1"/>
  <c r="E76" i="1" s="1"/>
  <c r="F75" i="1"/>
  <c r="C75" i="1"/>
  <c r="E75" i="1" s="1"/>
  <c r="I75" i="1" s="1"/>
  <c r="J75" i="1" s="1"/>
  <c r="F74" i="1"/>
  <c r="C74" i="1"/>
  <c r="E74" i="1" s="1"/>
  <c r="J73" i="1"/>
  <c r="J72" i="1"/>
  <c r="F71" i="1"/>
  <c r="C71" i="1"/>
  <c r="E71" i="1" s="1"/>
  <c r="F70" i="1"/>
  <c r="C70" i="1"/>
  <c r="E70" i="1" s="1"/>
  <c r="I70" i="1" s="1"/>
  <c r="J70" i="1" s="1"/>
  <c r="F69" i="1"/>
  <c r="E69" i="1"/>
  <c r="C69" i="1"/>
  <c r="F68" i="1"/>
  <c r="C68" i="1"/>
  <c r="E68" i="1" s="1"/>
  <c r="F67" i="1"/>
  <c r="C67" i="1"/>
  <c r="E67" i="1" s="1"/>
  <c r="I67" i="1" s="1"/>
  <c r="J67" i="1" s="1"/>
  <c r="F64" i="1"/>
  <c r="C64" i="1"/>
  <c r="E64" i="1" s="1"/>
  <c r="F63" i="1"/>
  <c r="C63" i="1"/>
  <c r="E63" i="1" s="1"/>
  <c r="I63" i="1" s="1"/>
  <c r="J63" i="1" s="1"/>
  <c r="F62" i="1"/>
  <c r="C62" i="1"/>
  <c r="E62" i="1" s="1"/>
  <c r="F61" i="1"/>
  <c r="C61" i="1"/>
  <c r="E61" i="1" s="1"/>
  <c r="F60" i="1"/>
  <c r="C60" i="1"/>
  <c r="E60" i="1" s="1"/>
  <c r="F59" i="1"/>
  <c r="E59" i="1"/>
  <c r="F58" i="1"/>
  <c r="E58" i="1"/>
  <c r="I58" i="1" s="1"/>
  <c r="J58" i="1" s="1"/>
  <c r="F57" i="1"/>
  <c r="C57" i="1"/>
  <c r="E57" i="1" s="1"/>
  <c r="F56" i="1"/>
  <c r="C56" i="1"/>
  <c r="E56" i="1" s="1"/>
  <c r="I56" i="1" s="1"/>
  <c r="J56" i="1" s="1"/>
  <c r="F55" i="1"/>
  <c r="C55" i="1"/>
  <c r="E55" i="1" s="1"/>
  <c r="F54" i="1"/>
  <c r="C54" i="1"/>
  <c r="E54" i="1" s="1"/>
  <c r="F53" i="1"/>
  <c r="C53" i="1"/>
  <c r="E53" i="1" s="1"/>
  <c r="F52" i="1"/>
  <c r="E52" i="1"/>
  <c r="F51" i="1"/>
  <c r="E51" i="1"/>
  <c r="I51" i="1" s="1"/>
  <c r="J51" i="1" s="1"/>
  <c r="F50" i="1"/>
  <c r="C50" i="1"/>
  <c r="E50" i="1" s="1"/>
  <c r="F49" i="1"/>
  <c r="C49" i="1"/>
  <c r="E49" i="1" s="1"/>
  <c r="I49" i="1" s="1"/>
  <c r="J49" i="1" s="1"/>
  <c r="F48" i="1"/>
  <c r="E48" i="1"/>
  <c r="C48" i="1"/>
  <c r="F47" i="1"/>
  <c r="C47" i="1"/>
  <c r="E47" i="1" s="1"/>
  <c r="F46" i="1"/>
  <c r="C46" i="1"/>
  <c r="E46" i="1" s="1"/>
  <c r="F45" i="1"/>
  <c r="E45" i="1"/>
  <c r="F36" i="1"/>
  <c r="C36" i="1"/>
  <c r="E36" i="1" s="1"/>
  <c r="F34" i="1"/>
  <c r="C34" i="1"/>
  <c r="E34" i="1" s="1"/>
  <c r="F32" i="1"/>
  <c r="C32" i="1"/>
  <c r="E32" i="1" s="1"/>
  <c r="F29" i="1"/>
  <c r="C29" i="1"/>
  <c r="E29" i="1" s="1"/>
  <c r="F28" i="1"/>
  <c r="C28" i="1"/>
  <c r="E28" i="1" s="1"/>
  <c r="F27" i="1"/>
  <c r="C27" i="1"/>
  <c r="E27" i="1" s="1"/>
  <c r="F26" i="1"/>
  <c r="C26" i="1"/>
  <c r="E26" i="1" s="1"/>
  <c r="F25" i="1"/>
  <c r="C25" i="1"/>
  <c r="E25" i="1" s="1"/>
  <c r="F23" i="1"/>
  <c r="C23" i="1"/>
  <c r="E23" i="1" s="1"/>
  <c r="F22" i="1"/>
  <c r="C22" i="1"/>
  <c r="E22" i="1" s="1"/>
  <c r="F21" i="1"/>
  <c r="C21" i="1"/>
  <c r="E21" i="1" s="1"/>
  <c r="I21" i="1" s="1"/>
  <c r="J21" i="1" s="1"/>
  <c r="F18" i="1"/>
  <c r="C18" i="1"/>
  <c r="E18" i="1" s="1"/>
  <c r="F16" i="1"/>
  <c r="C16" i="1"/>
  <c r="E16" i="1" s="1"/>
  <c r="I16" i="1" s="1"/>
  <c r="J16" i="1" s="1"/>
  <c r="F15" i="1"/>
  <c r="C15" i="1"/>
  <c r="E15" i="1" s="1"/>
  <c r="F14" i="1"/>
  <c r="C14" i="1"/>
  <c r="E14" i="1" s="1"/>
  <c r="I14" i="1" s="1"/>
  <c r="J14" i="1" s="1"/>
  <c r="F13" i="1"/>
  <c r="C13" i="1"/>
  <c r="E13" i="1" s="1"/>
  <c r="I13" i="1" s="1"/>
  <c r="J13" i="1" s="1"/>
  <c r="F12" i="1"/>
  <c r="E12" i="1"/>
  <c r="C12" i="1"/>
  <c r="F11" i="1"/>
  <c r="C11" i="1"/>
  <c r="E11" i="1" s="1"/>
  <c r="F10" i="1"/>
  <c r="C10" i="1"/>
  <c r="E10" i="1" s="1"/>
  <c r="F9" i="1"/>
  <c r="C9" i="1"/>
  <c r="E9" i="1" s="1"/>
  <c r="F8" i="1"/>
  <c r="C8" i="1"/>
  <c r="E8" i="1" s="1"/>
  <c r="F7" i="1"/>
  <c r="C7" i="1"/>
  <c r="E7" i="1" s="1"/>
  <c r="F6" i="1"/>
  <c r="C6" i="1"/>
  <c r="E6" i="1" s="1"/>
  <c r="I6" i="1" s="1"/>
  <c r="F5" i="1"/>
  <c r="C5" i="1"/>
  <c r="E5" i="1" s="1"/>
  <c r="I5" i="1" s="1"/>
  <c r="J5" i="1" s="1"/>
  <c r="C4" i="1"/>
  <c r="E4" i="1" s="1"/>
  <c r="I4" i="1" s="1"/>
  <c r="J4" i="1" s="1"/>
  <c r="I368" i="1" l="1"/>
  <c r="J368" i="1" s="1"/>
  <c r="I364" i="1"/>
  <c r="J364" i="1" s="1"/>
  <c r="I363" i="1"/>
  <c r="J363" i="1" s="1"/>
  <c r="I323" i="1"/>
  <c r="I319" i="1"/>
  <c r="J319" i="1" s="1"/>
  <c r="I316" i="1"/>
  <c r="I307" i="1"/>
  <c r="I299" i="1"/>
  <c r="I295" i="1"/>
  <c r="I285" i="1"/>
  <c r="I276" i="1"/>
  <c r="J276" i="1" s="1"/>
  <c r="I277" i="1"/>
  <c r="I272" i="1"/>
  <c r="I263" i="1"/>
  <c r="I232" i="1"/>
  <c r="I223" i="1"/>
  <c r="J223" i="1" s="1"/>
  <c r="I215" i="1"/>
  <c r="I207" i="1"/>
  <c r="I187" i="1"/>
  <c r="J187" i="1" s="1"/>
  <c r="I12" i="1"/>
  <c r="J12" i="1" s="1"/>
  <c r="I185" i="1"/>
  <c r="J185" i="1" s="1"/>
  <c r="I192" i="1"/>
  <c r="J192" i="1" s="1"/>
  <c r="I59" i="1"/>
  <c r="J59" i="1" s="1"/>
  <c r="I68" i="1"/>
  <c r="J68" i="1" s="1"/>
  <c r="I25" i="1"/>
  <c r="J25" i="1" s="1"/>
  <c r="I27" i="1"/>
  <c r="J27" i="1" s="1"/>
  <c r="I32" i="1"/>
  <c r="J32" i="1" s="1"/>
  <c r="I36" i="1"/>
  <c r="J36" i="1" s="1"/>
  <c r="I60" i="1"/>
  <c r="J60" i="1" s="1"/>
  <c r="I77" i="1"/>
  <c r="J77" i="1" s="1"/>
  <c r="I83" i="1"/>
  <c r="J83" i="1" s="1"/>
  <c r="I88" i="1"/>
  <c r="J88" i="1" s="1"/>
  <c r="I103" i="1"/>
  <c r="J103" i="1" s="1"/>
  <c r="I105" i="1"/>
  <c r="J105" i="1" s="1"/>
  <c r="I107" i="1"/>
  <c r="J107" i="1" s="1"/>
  <c r="I109" i="1"/>
  <c r="J109" i="1" s="1"/>
  <c r="I111" i="1"/>
  <c r="J111" i="1" s="1"/>
  <c r="I132" i="1"/>
  <c r="J132" i="1" s="1"/>
  <c r="I134" i="1"/>
  <c r="J134" i="1" s="1"/>
  <c r="I139" i="1"/>
  <c r="J139" i="1" s="1"/>
  <c r="I141" i="1"/>
  <c r="J141" i="1" s="1"/>
  <c r="I143" i="1"/>
  <c r="J143" i="1" s="1"/>
  <c r="I145" i="1"/>
  <c r="J145" i="1" s="1"/>
  <c r="I147" i="1"/>
  <c r="J147" i="1" s="1"/>
  <c r="I149" i="1"/>
  <c r="J149" i="1" s="1"/>
  <c r="I157" i="1"/>
  <c r="J157" i="1" s="1"/>
  <c r="I159" i="1"/>
  <c r="J159" i="1" s="1"/>
  <c r="I163" i="1"/>
  <c r="J163" i="1" s="1"/>
  <c r="I165" i="1"/>
  <c r="J165" i="1" s="1"/>
  <c r="I182" i="1"/>
  <c r="J182" i="1" s="1"/>
  <c r="I183" i="1"/>
  <c r="J183" i="1" s="1"/>
  <c r="I28" i="1"/>
  <c r="J28" i="1" s="1"/>
  <c r="I116" i="1"/>
  <c r="J116" i="1" s="1"/>
  <c r="I9" i="1"/>
  <c r="J9" i="1" s="1"/>
  <c r="I11" i="1"/>
  <c r="J11" i="1" s="1"/>
  <c r="I162" i="1"/>
  <c r="J162" i="1" s="1"/>
  <c r="I45" i="1"/>
  <c r="J45" i="1" s="1"/>
  <c r="I47" i="1"/>
  <c r="J47" i="1" s="1"/>
  <c r="I52" i="1"/>
  <c r="J52" i="1" s="1"/>
  <c r="I54" i="1"/>
  <c r="J54" i="1" s="1"/>
  <c r="I76" i="1"/>
  <c r="J76" i="1" s="1"/>
  <c r="I178" i="1"/>
  <c r="J178" i="1" s="1"/>
  <c r="I184" i="1"/>
  <c r="J184" i="1" s="1"/>
  <c r="I7" i="1"/>
  <c r="J7" i="1" s="1"/>
  <c r="I8" i="1"/>
  <c r="J8" i="1" s="1"/>
  <c r="I10" i="1"/>
  <c r="J10" i="1" s="1"/>
  <c r="I15" i="1"/>
  <c r="J15" i="1" s="1"/>
  <c r="I46" i="1"/>
  <c r="J46" i="1" s="1"/>
  <c r="I53" i="1"/>
  <c r="J53" i="1" s="1"/>
  <c r="I55" i="1"/>
  <c r="J55" i="1" s="1"/>
  <c r="I85" i="1"/>
  <c r="J85" i="1" s="1"/>
  <c r="I112" i="1"/>
  <c r="J112" i="1" s="1"/>
  <c r="I120" i="1"/>
  <c r="J120" i="1" s="1"/>
  <c r="I124" i="1"/>
  <c r="J124" i="1" s="1"/>
  <c r="I126" i="1"/>
  <c r="J126" i="1" s="1"/>
  <c r="I133" i="1"/>
  <c r="J133" i="1" s="1"/>
  <c r="I140" i="1"/>
  <c r="J140" i="1" s="1"/>
  <c r="I142" i="1"/>
  <c r="J142" i="1" s="1"/>
  <c r="I150" i="1"/>
  <c r="J150" i="1" s="1"/>
  <c r="I89" i="1"/>
  <c r="J89" i="1" s="1"/>
  <c r="I18" i="1"/>
  <c r="J18" i="1" s="1"/>
  <c r="I22" i="1"/>
  <c r="J22" i="1" s="1"/>
  <c r="I23" i="1"/>
  <c r="J23" i="1" s="1"/>
  <c r="I26" i="1"/>
  <c r="J26" i="1" s="1"/>
  <c r="I29" i="1"/>
  <c r="J29" i="1" s="1"/>
  <c r="I34" i="1"/>
  <c r="J34" i="1" s="1"/>
  <c r="I48" i="1"/>
  <c r="J48" i="1" s="1"/>
  <c r="I50" i="1"/>
  <c r="J50" i="1" s="1"/>
  <c r="I57" i="1"/>
  <c r="J57" i="1" s="1"/>
  <c r="I61" i="1"/>
  <c r="J61" i="1" s="1"/>
  <c r="I62" i="1"/>
  <c r="J62" i="1" s="1"/>
  <c r="I64" i="1"/>
  <c r="J64" i="1" s="1"/>
  <c r="I69" i="1"/>
  <c r="J69" i="1" s="1"/>
  <c r="I71" i="1"/>
  <c r="J71" i="1" s="1"/>
  <c r="I74" i="1"/>
  <c r="J74" i="1" s="1"/>
  <c r="I92" i="1"/>
  <c r="J92" i="1" s="1"/>
  <c r="I99" i="1"/>
  <c r="J99" i="1" s="1"/>
  <c r="I106" i="1"/>
  <c r="J106" i="1" s="1"/>
  <c r="I108" i="1"/>
  <c r="J108" i="1" s="1"/>
  <c r="I128" i="1"/>
  <c r="J128" i="1" s="1"/>
  <c r="I130" i="1"/>
  <c r="J130" i="1" s="1"/>
  <c r="I135" i="1"/>
  <c r="J135" i="1" s="1"/>
  <c r="I137" i="1"/>
  <c r="J137" i="1" s="1"/>
  <c r="I144" i="1"/>
  <c r="J144" i="1" s="1"/>
  <c r="I146" i="1"/>
  <c r="J146" i="1" s="1"/>
  <c r="I153" i="1"/>
  <c r="J153" i="1" s="1"/>
  <c r="I155" i="1"/>
  <c r="J155" i="1" s="1"/>
  <c r="I164" i="1"/>
  <c r="J164" i="1" s="1"/>
  <c r="I171" i="1"/>
  <c r="J171" i="1" s="1"/>
  <c r="I173" i="1"/>
  <c r="J173" i="1" s="1"/>
  <c r="I180" i="1"/>
  <c r="J180" i="1" s="1"/>
  <c r="I186" i="1"/>
  <c r="J186" i="1" s="1"/>
  <c r="I189" i="1"/>
  <c r="J189" i="1" s="1"/>
  <c r="I190" i="1"/>
  <c r="J190" i="1" s="1"/>
</calcChain>
</file>

<file path=xl/sharedStrings.xml><?xml version="1.0" encoding="utf-8"?>
<sst xmlns="http://schemas.openxmlformats.org/spreadsheetml/2006/main" count="10" uniqueCount="10">
  <si>
    <t>Dia</t>
  </si>
  <si>
    <t>Km Rodados</t>
  </si>
  <si>
    <t>Litros Consumidos</t>
  </si>
  <si>
    <t>Preço Combustível p/ Litro(R$)</t>
  </si>
  <si>
    <t>Total Combustível (R$)</t>
  </si>
  <si>
    <t>Manutenção (R$)</t>
  </si>
  <si>
    <t>Ganhos Brutos Uber (R$)</t>
  </si>
  <si>
    <t>Ganhos Brutos 99 (R$)</t>
  </si>
  <si>
    <t>Total Despesas (R$)</t>
  </si>
  <si>
    <t>Lucro Líquido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</si>
</sst>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[$-F800]dddd\,\ mmmm\ dd\,\ yy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6" tint="-0.249977111117893"/>
      <name val="Arial"/>
      <family val="2"/>
      <charset val="1"/>
    </font>
    <font>
      <sz val="11"/>
      <color rgb="FF000000"/>
      <name val="Arial"/>
      <family val="2"/>
      <charset val="1"/>
    </font>
    <font>
      <sz val="11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3D69B"/>
        <bgColor rgb="FFE6B9B8"/>
      </patternFill>
    </fill>
    <fill>
      <patternFill patternType="solid">
        <fgColor rgb="FFEBF1DE"/>
        <b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9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9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/>
      <top/>
      <bottom style="thin">
        <color theme="4" tint="0.3999755851924192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4" fillId="3" borderId="2" xfId="0" applyFont="1" applyFill="1" applyBorder="1"/>
    <xf numFmtId="164" fontId="4" fillId="3" borderId="3" xfId="0" applyNumberFormat="1" applyFont="1" applyFill="1" applyBorder="1"/>
    <xf numFmtId="2" fontId="4" fillId="3" borderId="2" xfId="0" applyNumberFormat="1" applyFont="1" applyFill="1" applyBorder="1"/>
    <xf numFmtId="44" fontId="4" fillId="3" borderId="2" xfId="1" applyFont="1" applyFill="1" applyBorder="1" applyAlignment="1"/>
    <xf numFmtId="44" fontId="4" fillId="3" borderId="2" xfId="0" applyNumberFormat="1" applyFont="1" applyFill="1" applyBorder="1"/>
    <xf numFmtId="164" fontId="4" fillId="3" borderId="2" xfId="1" applyNumberFormat="1" applyFont="1" applyFill="1" applyBorder="1" applyAlignment="1"/>
    <xf numFmtId="164" fontId="4" fillId="3" borderId="2" xfId="0" applyNumberFormat="1" applyFont="1" applyFill="1" applyBorder="1"/>
    <xf numFmtId="0" fontId="4" fillId="3" borderId="4" xfId="0" applyFont="1" applyFill="1" applyBorder="1"/>
    <xf numFmtId="2" fontId="4" fillId="3" borderId="4" xfId="0" applyNumberFormat="1" applyFont="1" applyFill="1" applyBorder="1"/>
    <xf numFmtId="44" fontId="4" fillId="3" borderId="4" xfId="1" applyFont="1" applyFill="1" applyBorder="1" applyAlignment="1"/>
    <xf numFmtId="44" fontId="4" fillId="3" borderId="4" xfId="0" applyNumberFormat="1" applyFont="1" applyFill="1" applyBorder="1"/>
    <xf numFmtId="164" fontId="4" fillId="3" borderId="4" xfId="0" applyNumberFormat="1" applyFont="1" applyFill="1" applyBorder="1"/>
    <xf numFmtId="165" fontId="3" fillId="3" borderId="6" xfId="0" applyNumberFormat="1" applyFont="1" applyFill="1" applyBorder="1"/>
    <xf numFmtId="0" fontId="4" fillId="3" borderId="7" xfId="0" applyFont="1" applyFill="1" applyBorder="1"/>
    <xf numFmtId="164" fontId="4" fillId="3" borderId="7" xfId="0" applyNumberFormat="1" applyFont="1" applyFill="1" applyBorder="1"/>
    <xf numFmtId="164" fontId="4" fillId="3" borderId="8" xfId="0" applyNumberFormat="1" applyFont="1" applyFill="1" applyBorder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64" fontId="2" fillId="2" borderId="10" xfId="1" applyNumberFormat="1" applyFont="1" applyFill="1" applyBorder="1" applyAlignment="1">
      <alignment horizontal="center" vertical="center"/>
    </xf>
    <xf numFmtId="165" fontId="3" fillId="3" borderId="11" xfId="0" applyNumberFormat="1" applyFont="1" applyFill="1" applyBorder="1"/>
    <xf numFmtId="2" fontId="4" fillId="3" borderId="2" xfId="0" applyNumberFormat="1" applyFont="1" applyFill="1" applyBorder="1" applyAlignment="1">
      <alignment horizontal="center"/>
    </xf>
    <xf numFmtId="44" fontId="4" fillId="3" borderId="2" xfId="1" applyFont="1" applyFill="1" applyBorder="1" applyAlignment="1" applyProtection="1"/>
    <xf numFmtId="2" fontId="4" fillId="3" borderId="2" xfId="0" applyNumberFormat="1" applyFont="1" applyFill="1" applyBorder="1" applyAlignment="1">
      <alignment horizontal="center" vertical="center"/>
    </xf>
    <xf numFmtId="44" fontId="4" fillId="3" borderId="2" xfId="1" applyFont="1" applyFill="1" applyBorder="1" applyProtection="1"/>
    <xf numFmtId="0" fontId="4" fillId="3" borderId="5" xfId="0" applyFont="1" applyFill="1" applyBorder="1"/>
    <xf numFmtId="44" fontId="4" fillId="3" borderId="5" xfId="1" applyFont="1" applyFill="1" applyBorder="1" applyAlignment="1"/>
    <xf numFmtId="44" fontId="4" fillId="3" borderId="5" xfId="0" applyNumberFormat="1" applyFont="1" applyFill="1" applyBorder="1"/>
    <xf numFmtId="164" fontId="4" fillId="3" borderId="5" xfId="1" applyNumberFormat="1" applyFont="1" applyFill="1" applyBorder="1" applyAlignment="1"/>
    <xf numFmtId="164" fontId="4" fillId="3" borderId="5" xfId="0" applyNumberFormat="1" applyFont="1" applyFill="1" applyBorder="1"/>
    <xf numFmtId="0" fontId="4" fillId="3" borderId="1" xfId="0" applyFont="1" applyFill="1" applyBorder="1"/>
    <xf numFmtId="2" fontId="4" fillId="3" borderId="1" xfId="0" applyNumberFormat="1" applyFont="1" applyFill="1" applyBorder="1"/>
    <xf numFmtId="44" fontId="4" fillId="3" borderId="1" xfId="1" applyFont="1" applyFill="1" applyBorder="1" applyAlignment="1"/>
    <xf numFmtId="44" fontId="4" fillId="3" borderId="1" xfId="0" applyNumberFormat="1" applyFont="1" applyFill="1" applyBorder="1"/>
    <xf numFmtId="164" fontId="4" fillId="3" borderId="1" xfId="1" applyNumberFormat="1" applyFont="1" applyFill="1" applyBorder="1" applyAlignment="1"/>
    <xf numFmtId="164" fontId="4" fillId="3" borderId="1" xfId="0" applyNumberFormat="1" applyFont="1" applyFill="1" applyBorder="1"/>
    <xf numFmtId="2" fontId="4" fillId="3" borderId="5" xfId="0" applyNumberFormat="1" applyFont="1" applyFill="1" applyBorder="1"/>
    <xf numFmtId="164" fontId="4" fillId="3" borderId="12" xfId="0" applyNumberFormat="1" applyFont="1" applyFill="1" applyBorder="1"/>
    <xf numFmtId="0" fontId="4" fillId="3" borderId="12" xfId="0" applyFont="1" applyFill="1" applyBorder="1"/>
    <xf numFmtId="2" fontId="4" fillId="3" borderId="12" xfId="0" applyNumberFormat="1" applyFont="1" applyFill="1" applyBorder="1"/>
    <xf numFmtId="44" fontId="4" fillId="3" borderId="12" xfId="1" applyFont="1" applyFill="1" applyBorder="1" applyAlignment="1"/>
    <xf numFmtId="44" fontId="4" fillId="3" borderId="12" xfId="0" applyNumberFormat="1" applyFont="1" applyFill="1" applyBorder="1"/>
    <xf numFmtId="164" fontId="4" fillId="3" borderId="12" xfId="1" applyNumberFormat="1" applyFont="1" applyFill="1" applyBorder="1" applyAlignment="1"/>
    <xf numFmtId="8" fontId="4" fillId="3" borderId="2" xfId="1" applyNumberFormat="1" applyFont="1" applyFill="1" applyBorder="1" applyAlignment="1"/>
  </cellXfs>
  <cellStyles count="2">
    <cellStyle name="Moeda" xfId="1" builtinId="4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  <numFmt numFmtId="164" formatCode="_-&quot;R$ &quot;* #,##0.00_-;&quot;-R$ &quot;* #,##0.00_-;_-&quot;R$ &quot;* \-??_-;_-@_-"/>
      <fill>
        <patternFill patternType="solid">
          <fgColor rgb="FFFFFFFF"/>
          <bgColor rgb="FFEBF1DE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  <numFmt numFmtId="164" formatCode="_-&quot;R$ &quot;* #,##0.00_-;&quot;-R$ &quot;* #,##0.00_-;_-&quot;R$ &quot;* \-??_-;_-@_-"/>
      <fill>
        <patternFill patternType="solid">
          <fgColor rgb="FFFFFFFF"/>
          <bgColor rgb="FFEBF1DE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  <fill>
        <patternFill patternType="solid">
          <fgColor rgb="FFFFFFFF"/>
          <bgColor rgb="FFEBF1DE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  <fill>
        <patternFill patternType="solid">
          <fgColor rgb="FFFFFFFF"/>
          <bgColor rgb="FFEBF1DE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  <numFmt numFmtId="164" formatCode="_-&quot;R$ &quot;* #,##0.00_-;&quot;-R$ &quot;* #,##0.00_-;_-&quot;R$ &quot;* \-??_-;_-@_-"/>
      <fill>
        <patternFill patternType="solid">
          <fgColor rgb="FFFFFFFF"/>
          <bgColor rgb="FFEBF1DE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  <numFmt numFmtId="34" formatCode="_-&quot;R$&quot;\ * #,##0.00_-;\-&quot;R$&quot;\ * #,##0.00_-;_-&quot;R$&quot;\ * &quot;-&quot;??_-;_-@_-"/>
      <fill>
        <patternFill patternType="solid">
          <fgColor rgb="FFFFFFFF"/>
          <bgColor rgb="FFEBF1DE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  <fill>
        <patternFill patternType="solid">
          <fgColor rgb="FFFFFFFF"/>
          <bgColor rgb="FFEBF1DE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  <numFmt numFmtId="2" formatCode="0.00"/>
      <fill>
        <patternFill patternType="solid">
          <fgColor rgb="FFFFFFFF"/>
          <bgColor rgb="FFEBF1DE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1"/>
        <scheme val="none"/>
      </font>
      <fill>
        <patternFill patternType="solid">
          <fgColor rgb="FFFFFFFF"/>
          <bgColor rgb="FFEBF1DE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numFmt numFmtId="165" formatCode="[$-F800]dddd\,\ mmmm\ dd\,\ yyyy"/>
      <fill>
        <patternFill patternType="solid">
          <fgColor rgb="FFFFFFFF"/>
          <bgColor rgb="FFEBF1DE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6" tint="-0.249977111117893"/>
        <name val="Arial"/>
        <family val="2"/>
        <charset val="1"/>
        <scheme val="none"/>
      </font>
      <fill>
        <patternFill patternType="solid">
          <fgColor rgb="FFE6B9B8"/>
          <bgColor rgb="FFC3D69B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D744A4-BC2E-4413-861E-3157FB8FDF2D}" name="Tabela1" displayName="Tabela1" ref="A1:J368" totalsRowShown="0" headerRowDxfId="13" headerRowBorderDxfId="12" tableBorderDxfId="11" totalsRowBorderDxfId="10">
  <autoFilter ref="A1:J368" xr:uid="{46D744A4-BC2E-4413-861E-3157FB8FDF2D}"/>
  <tableColumns count="10">
    <tableColumn id="1" xr3:uid="{A43C1573-05CB-4517-AEDF-80B59A65BE0C}" name="Dia" dataDxfId="9"/>
    <tableColumn id="2" xr3:uid="{E62E17A8-9B6B-4EB4-8858-B0F3F3081FB9}" name="Km Rodados" dataDxfId="8"/>
    <tableColumn id="3" xr3:uid="{39925B87-591D-4CAA-BFFF-418E2DB9EA1F}" name="Litros Consumidos" dataDxfId="7">
      <calculatedColumnFormula>B2/10</calculatedColumnFormula>
    </tableColumn>
    <tableColumn id="4" xr3:uid="{9D59462A-3CC2-4713-9A9E-BECC770041BD}" name="Preço Combustível p/ Litro(R$)" dataDxfId="6" dataCellStyle="Moeda"/>
    <tableColumn id="5" xr3:uid="{070F8141-9F9C-432E-8ABD-E76C866CDED9}" name="Total Combustível (R$)" dataDxfId="5">
      <calculatedColumnFormula>C2*D2</calculatedColumnFormula>
    </tableColumn>
    <tableColumn id="6" xr3:uid="{18BA5C93-B123-48BB-AFC1-32408FEA40E3}" name="Manutenção (R$)" dataDxfId="4" dataCellStyle="Moeda">
      <calculatedColumnFormula>B2*0.13</calculatedColumnFormula>
    </tableColumn>
    <tableColumn id="7" xr3:uid="{C814BC8E-E041-4BD9-8CC0-5E139B4BD475}" name="Ganhos Brutos Uber (R$)" dataDxfId="3" dataCellStyle="Moeda"/>
    <tableColumn id="8" xr3:uid="{362750F3-C6F2-4BD1-A375-C10B7FED072D}" name="Ganhos Brutos 99 (R$)" dataDxfId="2" dataCellStyle="Moeda"/>
    <tableColumn id="9" xr3:uid="{89027E1D-ECCA-475D-979F-97E3E2DD9566}" name="Total Despesas (R$)" dataDxfId="1">
      <calculatedColumnFormula>E2+F2</calculatedColumnFormula>
    </tableColumn>
    <tableColumn id="10" xr3:uid="{1CE5B991-9AAC-4DCC-B51B-FAE83A28DEBC}" name="Lucro Líquido (R$)" dataDxfId="0">
      <calculatedColumnFormula>G2+H2-I2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20472-0B7C-46FF-A9BC-6D4411C3BE44}">
  <dimension ref="A1:J368"/>
  <sheetViews>
    <sheetView tabSelected="1" topLeftCell="D1" workbookViewId="0">
      <pane ySplit="1" topLeftCell="A347" activePane="bottomLeft" state="frozen"/>
      <selection activeCell="D1" sqref="D1"/>
      <selection pane="bottomLeft" activeCell="D366" sqref="D366:D367"/>
    </sheetView>
  </sheetViews>
  <sheetFormatPr defaultRowHeight="14.4" x14ac:dyDescent="0.3"/>
  <cols>
    <col min="1" max="1" width="37.109375" bestFit="1" customWidth="1"/>
    <col min="2" max="2" width="18.5546875" customWidth="1"/>
    <col min="3" max="3" width="26.44140625" customWidth="1"/>
    <col min="4" max="4" width="42.33203125" customWidth="1"/>
    <col min="5" max="5" width="31.109375" customWidth="1"/>
    <col min="6" max="6" width="25.77734375" customWidth="1"/>
    <col min="7" max="7" width="35.88671875" customWidth="1"/>
    <col min="8" max="8" width="31.109375" customWidth="1"/>
    <col min="9" max="9" width="27.77734375" customWidth="1"/>
    <col min="10" max="10" width="25.88671875" customWidth="1"/>
  </cols>
  <sheetData>
    <row r="1" spans="1:10" ht="17.399999999999999" x14ac:dyDescent="0.3">
      <c r="A1" s="17" t="s">
        <v>0</v>
      </c>
      <c r="B1" s="18" t="s">
        <v>1</v>
      </c>
      <c r="C1" s="18" t="s">
        <v>2</v>
      </c>
      <c r="D1" s="19" t="s">
        <v>3</v>
      </c>
      <c r="E1" s="18" t="s">
        <v>4</v>
      </c>
      <c r="F1" s="19" t="s">
        <v>5</v>
      </c>
      <c r="G1" s="19" t="s">
        <v>6</v>
      </c>
      <c r="H1" s="18" t="s">
        <v>7</v>
      </c>
      <c r="I1" s="18" t="s">
        <v>8</v>
      </c>
      <c r="J1" s="18" t="s">
        <v>9</v>
      </c>
    </row>
    <row r="2" spans="1:10" x14ac:dyDescent="0.3">
      <c r="A2" s="13">
        <v>45689</v>
      </c>
      <c r="B2" s="21"/>
      <c r="C2" s="21"/>
      <c r="D2" s="21"/>
      <c r="E2" s="21"/>
      <c r="F2" s="21"/>
      <c r="G2" s="21"/>
      <c r="H2" s="21"/>
      <c r="I2" s="21"/>
      <c r="J2" s="14"/>
    </row>
    <row r="3" spans="1:10" x14ac:dyDescent="0.3">
      <c r="A3" s="13">
        <v>45690</v>
      </c>
      <c r="B3" s="21"/>
      <c r="C3" s="21"/>
      <c r="D3" s="21"/>
      <c r="E3" s="21"/>
      <c r="F3" s="21"/>
      <c r="G3" s="21"/>
      <c r="H3" s="21"/>
      <c r="I3" s="21"/>
      <c r="J3" s="14"/>
    </row>
    <row r="4" spans="1:10" x14ac:dyDescent="0.3">
      <c r="A4" s="13">
        <v>45691</v>
      </c>
      <c r="B4" s="3">
        <v>206.07</v>
      </c>
      <c r="C4" s="3">
        <f>B4/10</f>
        <v>20.606999999999999</v>
      </c>
      <c r="D4" s="22">
        <v>6.15</v>
      </c>
      <c r="E4" s="5">
        <f t="shared" ref="E4:E29" si="0">C4*D4</f>
        <v>126.73305000000001</v>
      </c>
      <c r="F4" s="22">
        <v>0.01</v>
      </c>
      <c r="G4" s="22">
        <v>307.82</v>
      </c>
      <c r="H4" s="22">
        <v>0.01</v>
      </c>
      <c r="I4" s="5">
        <f t="shared" ref="I4:I16" si="1">E4+F4</f>
        <v>126.74305000000001</v>
      </c>
      <c r="J4" s="15">
        <f t="shared" ref="J4:J29" si="2">G4+H4-I4</f>
        <v>181.08694999999997</v>
      </c>
    </row>
    <row r="5" spans="1:10" x14ac:dyDescent="0.3">
      <c r="A5" s="13">
        <v>45692</v>
      </c>
      <c r="B5" s="3">
        <v>251.1</v>
      </c>
      <c r="C5" s="3">
        <f>B5/10</f>
        <v>25.11</v>
      </c>
      <c r="D5" s="22">
        <v>6.15</v>
      </c>
      <c r="E5" s="5">
        <f t="shared" si="0"/>
        <v>154.4265</v>
      </c>
      <c r="F5" s="22">
        <f t="shared" ref="F5:F10" si="3">B5*0.1</f>
        <v>25.11</v>
      </c>
      <c r="G5" s="22">
        <v>311.86</v>
      </c>
      <c r="H5" s="22">
        <v>15</v>
      </c>
      <c r="I5" s="5">
        <f t="shared" si="1"/>
        <v>179.53649999999999</v>
      </c>
      <c r="J5" s="15">
        <f t="shared" si="2"/>
        <v>147.32350000000002</v>
      </c>
    </row>
    <row r="6" spans="1:10" x14ac:dyDescent="0.3">
      <c r="A6" s="13">
        <v>45693</v>
      </c>
      <c r="B6" s="3">
        <v>193.8</v>
      </c>
      <c r="C6" s="3">
        <f>B6/10.8</f>
        <v>17.944444444444443</v>
      </c>
      <c r="D6" s="22">
        <v>6.35</v>
      </c>
      <c r="E6" s="5">
        <f t="shared" si="0"/>
        <v>113.94722222222221</v>
      </c>
      <c r="F6" s="22">
        <f t="shared" si="3"/>
        <v>19.380000000000003</v>
      </c>
      <c r="G6" s="22">
        <v>286.31</v>
      </c>
      <c r="H6" s="22">
        <v>75</v>
      </c>
      <c r="I6" s="5">
        <f t="shared" si="1"/>
        <v>133.32722222222222</v>
      </c>
      <c r="J6" s="15">
        <f t="shared" si="2"/>
        <v>227.98277777777778</v>
      </c>
    </row>
    <row r="7" spans="1:10" x14ac:dyDescent="0.3">
      <c r="A7" s="13">
        <v>45694</v>
      </c>
      <c r="B7" s="3">
        <v>242</v>
      </c>
      <c r="C7" s="3">
        <f t="shared" ref="C7:C12" si="4">B7/11</f>
        <v>22</v>
      </c>
      <c r="D7" s="22">
        <v>6.35</v>
      </c>
      <c r="E7" s="5">
        <f t="shared" si="0"/>
        <v>139.69999999999999</v>
      </c>
      <c r="F7" s="22">
        <f t="shared" si="3"/>
        <v>24.200000000000003</v>
      </c>
      <c r="G7" s="22">
        <v>306.75</v>
      </c>
      <c r="H7" s="22">
        <v>33.25</v>
      </c>
      <c r="I7" s="5">
        <f t="shared" si="1"/>
        <v>163.89999999999998</v>
      </c>
      <c r="J7" s="15">
        <f t="shared" si="2"/>
        <v>176.10000000000002</v>
      </c>
    </row>
    <row r="8" spans="1:10" x14ac:dyDescent="0.3">
      <c r="A8" s="13">
        <v>45695</v>
      </c>
      <c r="B8" s="3">
        <v>223.8</v>
      </c>
      <c r="C8" s="3">
        <f t="shared" si="4"/>
        <v>20.345454545454547</v>
      </c>
      <c r="D8" s="22">
        <v>6.32</v>
      </c>
      <c r="E8" s="5">
        <f t="shared" si="0"/>
        <v>128.58327272727274</v>
      </c>
      <c r="F8" s="22">
        <f t="shared" si="3"/>
        <v>22.380000000000003</v>
      </c>
      <c r="G8" s="22">
        <v>238.95</v>
      </c>
      <c r="H8" s="22">
        <v>82.78</v>
      </c>
      <c r="I8" s="5">
        <f t="shared" si="1"/>
        <v>150.96327272727274</v>
      </c>
      <c r="J8" s="15">
        <f t="shared" si="2"/>
        <v>170.76672727272728</v>
      </c>
    </row>
    <row r="9" spans="1:10" x14ac:dyDescent="0.3">
      <c r="A9" s="13">
        <v>45696</v>
      </c>
      <c r="B9" s="3">
        <v>178</v>
      </c>
      <c r="C9" s="3">
        <f t="shared" si="4"/>
        <v>16.181818181818183</v>
      </c>
      <c r="D9" s="22">
        <v>6.35</v>
      </c>
      <c r="E9" s="5">
        <f t="shared" si="0"/>
        <v>102.75454545454546</v>
      </c>
      <c r="F9" s="22">
        <f t="shared" si="3"/>
        <v>17.8</v>
      </c>
      <c r="G9" s="22">
        <v>214.6</v>
      </c>
      <c r="H9" s="22">
        <v>20.399999999999999</v>
      </c>
      <c r="I9" s="5">
        <f t="shared" si="1"/>
        <v>120.55454545454546</v>
      </c>
      <c r="J9" s="15">
        <f t="shared" si="2"/>
        <v>114.44545454545454</v>
      </c>
    </row>
    <row r="10" spans="1:10" x14ac:dyDescent="0.3">
      <c r="A10" s="13">
        <v>45697</v>
      </c>
      <c r="B10" s="3">
        <v>120</v>
      </c>
      <c r="C10" s="3">
        <f t="shared" si="4"/>
        <v>10.909090909090908</v>
      </c>
      <c r="D10" s="22">
        <v>6.35</v>
      </c>
      <c r="E10" s="5">
        <f t="shared" si="0"/>
        <v>69.272727272727266</v>
      </c>
      <c r="F10" s="22">
        <f t="shared" si="3"/>
        <v>12</v>
      </c>
      <c r="G10" s="22">
        <v>185.97</v>
      </c>
      <c r="H10" s="22">
        <v>1E-3</v>
      </c>
      <c r="I10" s="5">
        <f t="shared" si="1"/>
        <v>81.272727272727266</v>
      </c>
      <c r="J10" s="15">
        <f t="shared" si="2"/>
        <v>104.69827272727274</v>
      </c>
    </row>
    <row r="11" spans="1:10" x14ac:dyDescent="0.3">
      <c r="A11" s="13">
        <v>45698</v>
      </c>
      <c r="B11" s="3">
        <v>175.1</v>
      </c>
      <c r="C11" s="3">
        <f t="shared" si="4"/>
        <v>15.918181818181818</v>
      </c>
      <c r="D11" s="22">
        <v>6.35</v>
      </c>
      <c r="E11" s="5">
        <f t="shared" si="0"/>
        <v>101.08045454545454</v>
      </c>
      <c r="F11" s="22">
        <f t="shared" ref="F11:F16" si="5">B11*0.12</f>
        <v>21.011999999999997</v>
      </c>
      <c r="G11" s="22">
        <v>268.58</v>
      </c>
      <c r="H11" s="22">
        <v>10.32</v>
      </c>
      <c r="I11" s="5">
        <f t="shared" si="1"/>
        <v>122.09245454545454</v>
      </c>
      <c r="J11" s="15">
        <f t="shared" si="2"/>
        <v>156.80754545454545</v>
      </c>
    </row>
    <row r="12" spans="1:10" x14ac:dyDescent="0.3">
      <c r="A12" s="13">
        <v>45699</v>
      </c>
      <c r="B12" s="3">
        <v>173.3</v>
      </c>
      <c r="C12" s="3">
        <f t="shared" si="4"/>
        <v>15.754545454545456</v>
      </c>
      <c r="D12" s="22">
        <v>6.45</v>
      </c>
      <c r="E12" s="5">
        <f t="shared" si="0"/>
        <v>101.61681818181819</v>
      </c>
      <c r="F12" s="22">
        <f t="shared" si="5"/>
        <v>20.795999999999999</v>
      </c>
      <c r="G12" s="22">
        <v>51.68</v>
      </c>
      <c r="H12" s="22">
        <v>248.32</v>
      </c>
      <c r="I12" s="5">
        <f t="shared" si="1"/>
        <v>122.41281818181818</v>
      </c>
      <c r="J12" s="15">
        <f t="shared" si="2"/>
        <v>177.58718181818182</v>
      </c>
    </row>
    <row r="13" spans="1:10" x14ac:dyDescent="0.3">
      <c r="A13" s="13">
        <v>45700</v>
      </c>
      <c r="B13" s="3">
        <v>162.19999999999999</v>
      </c>
      <c r="C13" s="3">
        <f>B13/11.5</f>
        <v>14.104347826086956</v>
      </c>
      <c r="D13" s="22">
        <v>6.45</v>
      </c>
      <c r="E13" s="5">
        <f t="shared" si="0"/>
        <v>90.973043478260863</v>
      </c>
      <c r="F13" s="22">
        <f t="shared" si="5"/>
        <v>19.463999999999999</v>
      </c>
      <c r="G13" s="22">
        <v>173.9</v>
      </c>
      <c r="H13" s="22">
        <v>56.4</v>
      </c>
      <c r="I13" s="5">
        <f t="shared" si="1"/>
        <v>110.43704347826086</v>
      </c>
      <c r="J13" s="15">
        <f t="shared" si="2"/>
        <v>119.86295652173915</v>
      </c>
    </row>
    <row r="14" spans="1:10" x14ac:dyDescent="0.3">
      <c r="A14" s="13">
        <v>45701</v>
      </c>
      <c r="B14" s="3">
        <v>215.4</v>
      </c>
      <c r="C14" s="3">
        <f>B14/11.6</f>
        <v>18.568965517241381</v>
      </c>
      <c r="D14" s="22">
        <v>6.47</v>
      </c>
      <c r="E14" s="5">
        <f t="shared" si="0"/>
        <v>120.14120689655172</v>
      </c>
      <c r="F14" s="22">
        <f t="shared" si="5"/>
        <v>25.847999999999999</v>
      </c>
      <c r="G14" s="22">
        <v>252.35</v>
      </c>
      <c r="H14" s="22">
        <v>41.49</v>
      </c>
      <c r="I14" s="5">
        <f t="shared" si="1"/>
        <v>145.98920689655171</v>
      </c>
      <c r="J14" s="15">
        <f t="shared" si="2"/>
        <v>147.85079310344827</v>
      </c>
    </row>
    <row r="15" spans="1:10" x14ac:dyDescent="0.3">
      <c r="A15" s="13">
        <v>45702</v>
      </c>
      <c r="B15" s="3">
        <v>209</v>
      </c>
      <c r="C15" s="3">
        <f>B15/11.7</f>
        <v>17.863247863247864</v>
      </c>
      <c r="D15" s="22">
        <v>6.29</v>
      </c>
      <c r="E15" s="5">
        <f t="shared" si="0"/>
        <v>112.35982905982907</v>
      </c>
      <c r="F15" s="22">
        <f t="shared" si="5"/>
        <v>25.08</v>
      </c>
      <c r="G15" s="22">
        <v>170.66</v>
      </c>
      <c r="H15" s="22">
        <v>129.34</v>
      </c>
      <c r="I15" s="5">
        <f t="shared" si="1"/>
        <v>137.43982905982907</v>
      </c>
      <c r="J15" s="15">
        <f t="shared" si="2"/>
        <v>162.56017094017093</v>
      </c>
    </row>
    <row r="16" spans="1:10" x14ac:dyDescent="0.3">
      <c r="A16" s="13">
        <v>45703</v>
      </c>
      <c r="B16" s="3">
        <v>147.9</v>
      </c>
      <c r="C16" s="3">
        <f>B16/11.8</f>
        <v>12.533898305084746</v>
      </c>
      <c r="D16" s="22">
        <v>6.35</v>
      </c>
      <c r="E16" s="5">
        <f t="shared" si="0"/>
        <v>79.590254237288136</v>
      </c>
      <c r="F16" s="22">
        <f t="shared" si="5"/>
        <v>17.748000000000001</v>
      </c>
      <c r="G16" s="22">
        <v>0.01</v>
      </c>
      <c r="H16" s="22">
        <v>274.82</v>
      </c>
      <c r="I16" s="5">
        <f t="shared" si="1"/>
        <v>97.33825423728814</v>
      </c>
      <c r="J16" s="15">
        <f t="shared" si="2"/>
        <v>177.49174576271184</v>
      </c>
    </row>
    <row r="17" spans="1:10" x14ac:dyDescent="0.3">
      <c r="A17" s="13">
        <v>45704</v>
      </c>
      <c r="B17" s="23"/>
      <c r="C17" s="23"/>
      <c r="D17" s="23"/>
      <c r="E17" s="23"/>
      <c r="F17" s="23"/>
      <c r="G17" s="23"/>
      <c r="H17" s="23"/>
      <c r="I17" s="23"/>
      <c r="J17" s="14"/>
    </row>
    <row r="18" spans="1:10" x14ac:dyDescent="0.3">
      <c r="A18" s="13">
        <v>45705</v>
      </c>
      <c r="B18" s="3">
        <v>189.8</v>
      </c>
      <c r="C18" s="3">
        <f>B18/11.9</f>
        <v>15.949579831932773</v>
      </c>
      <c r="D18" s="22">
        <v>6.49</v>
      </c>
      <c r="E18" s="5">
        <f t="shared" si="0"/>
        <v>103.5127731092437</v>
      </c>
      <c r="F18" s="22">
        <f t="shared" ref="F18" si="6">B18*0.12</f>
        <v>22.776</v>
      </c>
      <c r="G18" s="22">
        <v>212.38</v>
      </c>
      <c r="H18" s="22">
        <v>79.900000000000006</v>
      </c>
      <c r="I18" s="5">
        <f>E18+F18</f>
        <v>126.28877310924369</v>
      </c>
      <c r="J18" s="15">
        <f t="shared" si="2"/>
        <v>165.99122689075628</v>
      </c>
    </row>
    <row r="19" spans="1:10" x14ac:dyDescent="0.3">
      <c r="A19" s="13">
        <v>45706</v>
      </c>
      <c r="B19" s="23"/>
      <c r="C19" s="23"/>
      <c r="D19" s="23"/>
      <c r="E19" s="23"/>
      <c r="F19" s="23"/>
      <c r="G19" s="23"/>
      <c r="H19" s="23"/>
      <c r="I19" s="23"/>
      <c r="J19" s="14"/>
    </row>
    <row r="20" spans="1:10" x14ac:dyDescent="0.3">
      <c r="A20" s="13">
        <v>45707</v>
      </c>
      <c r="B20" s="23"/>
      <c r="C20" s="23"/>
      <c r="D20" s="23"/>
      <c r="E20" s="23"/>
      <c r="F20" s="23"/>
      <c r="G20" s="23"/>
      <c r="H20" s="23"/>
      <c r="I20" s="23"/>
      <c r="J20" s="14"/>
    </row>
    <row r="21" spans="1:10" x14ac:dyDescent="0.3">
      <c r="A21" s="13">
        <v>45708</v>
      </c>
      <c r="B21" s="3">
        <v>173.9</v>
      </c>
      <c r="C21" s="3">
        <f>B21/12</f>
        <v>14.491666666666667</v>
      </c>
      <c r="D21" s="22">
        <v>6.35</v>
      </c>
      <c r="E21" s="5">
        <f t="shared" si="0"/>
        <v>92.022083333333327</v>
      </c>
      <c r="F21" s="22">
        <f>B21*0.13</f>
        <v>22.607000000000003</v>
      </c>
      <c r="G21" s="22">
        <v>157.24</v>
      </c>
      <c r="H21" s="22">
        <v>94.97</v>
      </c>
      <c r="I21" s="5">
        <f>E21+F21</f>
        <v>114.62908333333333</v>
      </c>
      <c r="J21" s="15">
        <f t="shared" si="2"/>
        <v>137.58091666666667</v>
      </c>
    </row>
    <row r="22" spans="1:10" x14ac:dyDescent="0.3">
      <c r="A22" s="13">
        <v>45709</v>
      </c>
      <c r="B22" s="3">
        <v>129</v>
      </c>
      <c r="C22" s="3">
        <f>B22/12</f>
        <v>10.75</v>
      </c>
      <c r="D22" s="22">
        <v>6.35</v>
      </c>
      <c r="E22" s="5">
        <f t="shared" si="0"/>
        <v>68.262500000000003</v>
      </c>
      <c r="F22" s="22">
        <f t="shared" ref="F22:F26" si="7">B22*0.13</f>
        <v>16.77</v>
      </c>
      <c r="G22" s="22">
        <v>165</v>
      </c>
      <c r="H22" s="22">
        <v>0.01</v>
      </c>
      <c r="I22" s="5">
        <f>E22+F22</f>
        <v>85.032499999999999</v>
      </c>
      <c r="J22" s="15">
        <f t="shared" si="2"/>
        <v>79.977499999999992</v>
      </c>
    </row>
    <row r="23" spans="1:10" x14ac:dyDescent="0.3">
      <c r="A23" s="13">
        <v>45710</v>
      </c>
      <c r="B23" s="3">
        <v>161.1</v>
      </c>
      <c r="C23" s="3">
        <f>B23/12</f>
        <v>13.424999999999999</v>
      </c>
      <c r="D23" s="22">
        <v>6.35</v>
      </c>
      <c r="E23" s="5">
        <f t="shared" si="0"/>
        <v>85.248749999999987</v>
      </c>
      <c r="F23" s="22">
        <f t="shared" si="7"/>
        <v>20.943000000000001</v>
      </c>
      <c r="G23" s="22">
        <v>0.01</v>
      </c>
      <c r="H23" s="22">
        <v>283.7</v>
      </c>
      <c r="I23" s="5">
        <f>E23+F23</f>
        <v>106.19174999999998</v>
      </c>
      <c r="J23" s="15">
        <f t="shared" si="2"/>
        <v>177.51824999999999</v>
      </c>
    </row>
    <row r="24" spans="1:10" x14ac:dyDescent="0.3">
      <c r="A24" s="13">
        <v>45711</v>
      </c>
      <c r="B24" s="23"/>
      <c r="C24" s="23"/>
      <c r="D24" s="23"/>
      <c r="E24" s="23"/>
      <c r="F24" s="23"/>
      <c r="G24" s="23"/>
      <c r="H24" s="23"/>
      <c r="I24" s="23"/>
      <c r="J24" s="14"/>
    </row>
    <row r="25" spans="1:10" x14ac:dyDescent="0.3">
      <c r="A25" s="13">
        <v>45712</v>
      </c>
      <c r="B25" s="3">
        <v>163.1</v>
      </c>
      <c r="C25" s="3">
        <f t="shared" ref="C25" si="8">B25/12</f>
        <v>13.591666666666667</v>
      </c>
      <c r="D25" s="22">
        <v>6.35</v>
      </c>
      <c r="E25" s="5">
        <f t="shared" si="0"/>
        <v>86.307083333333324</v>
      </c>
      <c r="F25" s="22">
        <f t="shared" si="7"/>
        <v>21.202999999999999</v>
      </c>
      <c r="G25" s="22">
        <v>201.9</v>
      </c>
      <c r="H25" s="22">
        <v>69.260000000000005</v>
      </c>
      <c r="I25" s="5">
        <f>E25+F25</f>
        <v>107.51008333333333</v>
      </c>
      <c r="J25" s="15">
        <f t="shared" si="2"/>
        <v>163.64991666666668</v>
      </c>
    </row>
    <row r="26" spans="1:10" x14ac:dyDescent="0.3">
      <c r="A26" s="13">
        <v>45713</v>
      </c>
      <c r="B26" s="3">
        <v>151</v>
      </c>
      <c r="C26" s="3">
        <f>B26/12.2</f>
        <v>12.377049180327869</v>
      </c>
      <c r="D26" s="24">
        <v>6.35</v>
      </c>
      <c r="E26" s="5">
        <f t="shared" si="0"/>
        <v>78.594262295081961</v>
      </c>
      <c r="F26" s="24">
        <f t="shared" si="7"/>
        <v>19.63</v>
      </c>
      <c r="G26" s="24">
        <v>117.96</v>
      </c>
      <c r="H26" s="24">
        <v>108.4</v>
      </c>
      <c r="I26" s="5">
        <f>E26+F26</f>
        <v>98.224262295081957</v>
      </c>
      <c r="J26" s="15">
        <f t="shared" si="2"/>
        <v>128.13573770491806</v>
      </c>
    </row>
    <row r="27" spans="1:10" x14ac:dyDescent="0.3">
      <c r="A27" s="13">
        <v>45714</v>
      </c>
      <c r="B27" s="3">
        <v>167.3</v>
      </c>
      <c r="C27" s="3">
        <f>B27/12.2</f>
        <v>13.713114754098362</v>
      </c>
      <c r="D27" s="22">
        <v>6.32</v>
      </c>
      <c r="E27" s="5">
        <f>C27*D27</f>
        <v>86.666885245901653</v>
      </c>
      <c r="F27" s="22">
        <f>B27*0.13</f>
        <v>21.749000000000002</v>
      </c>
      <c r="G27" s="22">
        <v>92.18</v>
      </c>
      <c r="H27" s="22">
        <v>139.82</v>
      </c>
      <c r="I27" s="5">
        <f>E27+F27</f>
        <v>108.41588524590165</v>
      </c>
      <c r="J27" s="15">
        <f t="shared" si="2"/>
        <v>123.58411475409835</v>
      </c>
    </row>
    <row r="28" spans="1:10" x14ac:dyDescent="0.3">
      <c r="A28" s="13">
        <v>45715</v>
      </c>
      <c r="B28" s="3">
        <v>198.1</v>
      </c>
      <c r="C28" s="3">
        <f>B28/12.2</f>
        <v>16.237704918032787</v>
      </c>
      <c r="D28" s="22">
        <v>6.35</v>
      </c>
      <c r="E28" s="5">
        <f t="shared" si="0"/>
        <v>103.10942622950819</v>
      </c>
      <c r="F28" s="22">
        <f>B28*0.13</f>
        <v>25.753</v>
      </c>
      <c r="G28" s="22">
        <v>101.17</v>
      </c>
      <c r="H28" s="22">
        <v>199.46</v>
      </c>
      <c r="I28" s="5">
        <f>E28+F28</f>
        <v>128.86242622950817</v>
      </c>
      <c r="J28" s="15">
        <f t="shared" si="2"/>
        <v>171.76757377049182</v>
      </c>
    </row>
    <row r="29" spans="1:10" x14ac:dyDescent="0.3">
      <c r="A29" s="13">
        <v>45716</v>
      </c>
      <c r="B29" s="3">
        <v>294.7</v>
      </c>
      <c r="C29" s="3">
        <f>B29/12.2</f>
        <v>24.155737704918032</v>
      </c>
      <c r="D29" s="22">
        <v>6.35</v>
      </c>
      <c r="E29" s="5">
        <f t="shared" si="0"/>
        <v>153.3889344262295</v>
      </c>
      <c r="F29" s="22">
        <f>B29*0.13</f>
        <v>38.311</v>
      </c>
      <c r="G29" s="22">
        <v>723.92</v>
      </c>
      <c r="H29" s="22">
        <v>0.01</v>
      </c>
      <c r="I29" s="5">
        <f>E29+F29</f>
        <v>191.6999344262295</v>
      </c>
      <c r="J29" s="15">
        <f t="shared" si="2"/>
        <v>532.23006557377039</v>
      </c>
    </row>
    <row r="30" spans="1:10" x14ac:dyDescent="0.3">
      <c r="A30" s="13">
        <v>45717</v>
      </c>
      <c r="B30" s="1"/>
      <c r="C30" s="1"/>
      <c r="D30" s="1"/>
      <c r="E30" s="1"/>
      <c r="F30" s="1"/>
      <c r="G30" s="1"/>
      <c r="H30" s="1"/>
      <c r="I30" s="1"/>
      <c r="J30" s="14"/>
    </row>
    <row r="31" spans="1:10" x14ac:dyDescent="0.3">
      <c r="A31" s="13">
        <v>45718</v>
      </c>
      <c r="B31" s="1"/>
      <c r="C31" s="1"/>
      <c r="D31" s="1"/>
      <c r="E31" s="1"/>
      <c r="F31" s="1"/>
      <c r="G31" s="1"/>
      <c r="H31" s="1"/>
      <c r="I31" s="1"/>
      <c r="J31" s="14"/>
    </row>
    <row r="32" spans="1:10" x14ac:dyDescent="0.3">
      <c r="A32" s="13">
        <v>45719</v>
      </c>
      <c r="B32" s="1">
        <v>175</v>
      </c>
      <c r="C32" s="3">
        <f>B32/12.5</f>
        <v>14</v>
      </c>
      <c r="D32" s="4">
        <v>6.35</v>
      </c>
      <c r="E32" s="5">
        <f>C32*D32</f>
        <v>88.899999999999991</v>
      </c>
      <c r="F32" s="6">
        <f t="shared" ref="F32:F52" si="9">B32*0.13</f>
        <v>22.75</v>
      </c>
      <c r="G32" s="4">
        <v>403</v>
      </c>
      <c r="H32" s="4">
        <v>0</v>
      </c>
      <c r="I32" s="7">
        <f>E32+F32</f>
        <v>111.64999999999999</v>
      </c>
      <c r="J32" s="15">
        <f>G32+H32-I32</f>
        <v>291.35000000000002</v>
      </c>
    </row>
    <row r="33" spans="1:10" x14ac:dyDescent="0.3">
      <c r="A33" s="13">
        <v>45720</v>
      </c>
      <c r="B33" s="1"/>
      <c r="C33" s="1"/>
      <c r="D33" s="1"/>
      <c r="E33" s="1"/>
      <c r="F33" s="1"/>
      <c r="G33" s="1"/>
      <c r="H33" s="1"/>
      <c r="I33" s="1"/>
      <c r="J33" s="14"/>
    </row>
    <row r="34" spans="1:10" x14ac:dyDescent="0.3">
      <c r="A34" s="13">
        <v>45721</v>
      </c>
      <c r="B34" s="1">
        <v>190</v>
      </c>
      <c r="C34" s="3">
        <f t="shared" ref="C34" si="10">B34/12.4</f>
        <v>15.32258064516129</v>
      </c>
      <c r="D34" s="4">
        <v>6.25</v>
      </c>
      <c r="E34" s="5">
        <f t="shared" ref="E34:E97" si="11">C34*D34</f>
        <v>95.766129032258064</v>
      </c>
      <c r="F34" s="6">
        <f t="shared" si="9"/>
        <v>24.7</v>
      </c>
      <c r="G34" s="4">
        <v>477.8</v>
      </c>
      <c r="H34" s="4">
        <v>15.8</v>
      </c>
      <c r="I34" s="7">
        <f>E34+F34</f>
        <v>120.46612903225807</v>
      </c>
      <c r="J34" s="15">
        <f>G34+H34-I34</f>
        <v>373.13387096774193</v>
      </c>
    </row>
    <row r="35" spans="1:10" x14ac:dyDescent="0.3">
      <c r="A35" s="13">
        <v>45722</v>
      </c>
      <c r="B35" s="1"/>
      <c r="C35" s="1"/>
      <c r="D35" s="1"/>
      <c r="E35" s="1"/>
      <c r="F35" s="1"/>
      <c r="G35" s="1"/>
      <c r="H35" s="1"/>
      <c r="I35" s="1"/>
      <c r="J35" s="14"/>
    </row>
    <row r="36" spans="1:10" x14ac:dyDescent="0.3">
      <c r="A36" s="13">
        <v>45723</v>
      </c>
      <c r="B36" s="1">
        <v>164</v>
      </c>
      <c r="C36" s="3">
        <f>B36/12.5</f>
        <v>13.12</v>
      </c>
      <c r="D36" s="4">
        <v>6.25</v>
      </c>
      <c r="E36" s="5">
        <f t="shared" si="11"/>
        <v>82</v>
      </c>
      <c r="F36" s="6">
        <f t="shared" si="9"/>
        <v>21.32</v>
      </c>
      <c r="G36" s="4">
        <v>222.1</v>
      </c>
      <c r="H36" s="4">
        <v>116.84</v>
      </c>
      <c r="I36" s="7">
        <f>E36+F36</f>
        <v>103.32</v>
      </c>
      <c r="J36" s="15">
        <f>G36+H36-I36</f>
        <v>235.62</v>
      </c>
    </row>
    <row r="37" spans="1:10" x14ac:dyDescent="0.3">
      <c r="A37" s="13">
        <v>45724</v>
      </c>
      <c r="B37" s="2"/>
      <c r="C37" s="2"/>
      <c r="D37" s="2"/>
      <c r="E37" s="2"/>
      <c r="F37" s="2"/>
      <c r="G37" s="2"/>
      <c r="H37" s="2"/>
      <c r="I37" s="2"/>
      <c r="J37" s="15"/>
    </row>
    <row r="38" spans="1:10" x14ac:dyDescent="0.3">
      <c r="A38" s="13">
        <v>45725</v>
      </c>
      <c r="B38" s="2"/>
      <c r="C38" s="2"/>
      <c r="D38" s="2"/>
      <c r="E38" s="2"/>
      <c r="F38" s="2"/>
      <c r="G38" s="2"/>
      <c r="H38" s="2"/>
      <c r="I38" s="2"/>
      <c r="J38" s="15"/>
    </row>
    <row r="39" spans="1:10" x14ac:dyDescent="0.3">
      <c r="A39" s="13">
        <v>45726</v>
      </c>
      <c r="B39" s="2"/>
      <c r="C39" s="2"/>
      <c r="D39" s="2"/>
      <c r="E39" s="2"/>
      <c r="F39" s="2"/>
      <c r="G39" s="2"/>
      <c r="H39" s="2"/>
      <c r="I39" s="2"/>
      <c r="J39" s="15"/>
    </row>
    <row r="40" spans="1:10" x14ac:dyDescent="0.3">
      <c r="A40" s="13">
        <v>45727</v>
      </c>
      <c r="B40" s="2"/>
      <c r="C40" s="2"/>
      <c r="D40" s="2"/>
      <c r="E40" s="2"/>
      <c r="F40" s="2"/>
      <c r="G40" s="2"/>
      <c r="H40" s="2"/>
      <c r="I40" s="2"/>
      <c r="J40" s="15"/>
    </row>
    <row r="41" spans="1:10" x14ac:dyDescent="0.3">
      <c r="A41" s="13">
        <v>45728</v>
      </c>
      <c r="B41" s="2"/>
      <c r="C41" s="2"/>
      <c r="D41" s="2"/>
      <c r="E41" s="2"/>
      <c r="F41" s="2"/>
      <c r="G41" s="2"/>
      <c r="H41" s="2"/>
      <c r="I41" s="2"/>
      <c r="J41" s="15"/>
    </row>
    <row r="42" spans="1:10" x14ac:dyDescent="0.3">
      <c r="A42" s="13">
        <v>45729</v>
      </c>
      <c r="B42" s="2"/>
      <c r="C42" s="2"/>
      <c r="D42" s="2"/>
      <c r="E42" s="2"/>
      <c r="F42" s="2"/>
      <c r="G42" s="2"/>
      <c r="H42" s="2"/>
      <c r="I42" s="2"/>
      <c r="J42" s="15"/>
    </row>
    <row r="43" spans="1:10" x14ac:dyDescent="0.3">
      <c r="A43" s="13">
        <v>45730</v>
      </c>
      <c r="B43" s="2"/>
      <c r="C43" s="2"/>
      <c r="D43" s="2"/>
      <c r="E43" s="2"/>
      <c r="F43" s="2"/>
      <c r="G43" s="2"/>
      <c r="H43" s="2"/>
      <c r="I43" s="2"/>
      <c r="J43" s="15"/>
    </row>
    <row r="44" spans="1:10" x14ac:dyDescent="0.3">
      <c r="A44" s="13">
        <v>45731</v>
      </c>
      <c r="B44" s="2"/>
      <c r="C44" s="2"/>
      <c r="D44" s="2"/>
      <c r="E44" s="2"/>
      <c r="F44" s="2"/>
      <c r="G44" s="2"/>
      <c r="H44" s="2"/>
      <c r="I44" s="2"/>
      <c r="J44" s="15"/>
    </row>
    <row r="45" spans="1:10" x14ac:dyDescent="0.3">
      <c r="A45" s="13">
        <v>45732</v>
      </c>
      <c r="B45" s="1"/>
      <c r="C45" s="3"/>
      <c r="D45" s="4">
        <v>0</v>
      </c>
      <c r="E45" s="5">
        <f t="shared" si="11"/>
        <v>0</v>
      </c>
      <c r="F45" s="6">
        <f t="shared" si="9"/>
        <v>0</v>
      </c>
      <c r="G45" s="4">
        <v>0</v>
      </c>
      <c r="H45" s="4">
        <v>0</v>
      </c>
      <c r="I45" s="7">
        <f t="shared" ref="I45:I90" si="12">E45+F45</f>
        <v>0</v>
      </c>
      <c r="J45" s="15">
        <f t="shared" ref="J45:J108" si="13">G45+H45-I45</f>
        <v>0</v>
      </c>
    </row>
    <row r="46" spans="1:10" x14ac:dyDescent="0.3">
      <c r="A46" s="13">
        <v>45733</v>
      </c>
      <c r="B46" s="1">
        <v>74.8</v>
      </c>
      <c r="C46" s="3">
        <f>B46/9.7</f>
        <v>7.7113402061855671</v>
      </c>
      <c r="D46" s="4">
        <v>4.1500000000000004</v>
      </c>
      <c r="E46" s="5">
        <f t="shared" si="11"/>
        <v>32.002061855670107</v>
      </c>
      <c r="F46" s="6">
        <f t="shared" si="9"/>
        <v>9.7240000000000002</v>
      </c>
      <c r="G46" s="4">
        <v>129.75</v>
      </c>
      <c r="H46" s="4">
        <v>12.3</v>
      </c>
      <c r="I46" s="7">
        <f t="shared" si="12"/>
        <v>41.72606185567011</v>
      </c>
      <c r="J46" s="15">
        <f t="shared" si="13"/>
        <v>100.3239381443299</v>
      </c>
    </row>
    <row r="47" spans="1:10" x14ac:dyDescent="0.3">
      <c r="A47" s="13">
        <v>45734</v>
      </c>
      <c r="B47" s="1">
        <v>128</v>
      </c>
      <c r="C47" s="3">
        <f>B47/10.5</f>
        <v>12.19047619047619</v>
      </c>
      <c r="D47" s="4">
        <v>4.1500000000000004</v>
      </c>
      <c r="E47" s="5">
        <f t="shared" si="11"/>
        <v>50.590476190476195</v>
      </c>
      <c r="F47" s="6">
        <f t="shared" si="9"/>
        <v>16.64</v>
      </c>
      <c r="G47" s="4">
        <v>139.22999999999999</v>
      </c>
      <c r="H47" s="4">
        <v>57.73</v>
      </c>
      <c r="I47" s="7">
        <f t="shared" si="12"/>
        <v>67.230476190476196</v>
      </c>
      <c r="J47" s="15">
        <f t="shared" si="13"/>
        <v>129.72952380952378</v>
      </c>
    </row>
    <row r="48" spans="1:10" x14ac:dyDescent="0.3">
      <c r="A48" s="13">
        <v>45735</v>
      </c>
      <c r="B48" s="1">
        <v>166.2</v>
      </c>
      <c r="C48" s="3">
        <f>B48/10.5</f>
        <v>15.828571428571427</v>
      </c>
      <c r="D48" s="4">
        <v>4.12</v>
      </c>
      <c r="E48" s="5">
        <f t="shared" si="11"/>
        <v>65.213714285714289</v>
      </c>
      <c r="F48" s="6">
        <f t="shared" si="9"/>
        <v>21.605999999999998</v>
      </c>
      <c r="G48" s="4">
        <v>226.06</v>
      </c>
      <c r="H48" s="4">
        <v>30.7</v>
      </c>
      <c r="I48" s="7">
        <f t="shared" si="12"/>
        <v>86.819714285714284</v>
      </c>
      <c r="J48" s="15">
        <f t="shared" si="13"/>
        <v>169.94028571428572</v>
      </c>
    </row>
    <row r="49" spans="1:10" x14ac:dyDescent="0.3">
      <c r="A49" s="13">
        <v>45736</v>
      </c>
      <c r="B49" s="1">
        <v>180</v>
      </c>
      <c r="C49" s="3">
        <f>B49/10.2</f>
        <v>17.647058823529413</v>
      </c>
      <c r="D49" s="4">
        <v>4.12</v>
      </c>
      <c r="E49" s="5">
        <f t="shared" si="11"/>
        <v>72.705882352941188</v>
      </c>
      <c r="F49" s="6">
        <f t="shared" si="9"/>
        <v>23.400000000000002</v>
      </c>
      <c r="G49" s="4">
        <v>218.17</v>
      </c>
      <c r="H49" s="4">
        <v>66.8</v>
      </c>
      <c r="I49" s="7">
        <f t="shared" si="12"/>
        <v>96.105882352941194</v>
      </c>
      <c r="J49" s="15">
        <f t="shared" si="13"/>
        <v>188.86411764705878</v>
      </c>
    </row>
    <row r="50" spans="1:10" x14ac:dyDescent="0.3">
      <c r="A50" s="13">
        <v>45737</v>
      </c>
      <c r="B50" s="1">
        <v>207</v>
      </c>
      <c r="C50" s="3">
        <f>B50/10</f>
        <v>20.7</v>
      </c>
      <c r="D50" s="4">
        <v>4.09</v>
      </c>
      <c r="E50" s="5">
        <f t="shared" si="11"/>
        <v>84.662999999999997</v>
      </c>
      <c r="F50" s="6">
        <f t="shared" si="9"/>
        <v>26.91</v>
      </c>
      <c r="G50" s="4">
        <v>65.709999999999994</v>
      </c>
      <c r="H50" s="4">
        <v>308.25</v>
      </c>
      <c r="I50" s="7">
        <f t="shared" si="12"/>
        <v>111.57299999999999</v>
      </c>
      <c r="J50" s="15">
        <f t="shared" si="13"/>
        <v>262.387</v>
      </c>
    </row>
    <row r="51" spans="1:10" x14ac:dyDescent="0.3">
      <c r="A51" s="13">
        <v>45738</v>
      </c>
      <c r="B51" s="1"/>
      <c r="C51" s="3"/>
      <c r="D51" s="4">
        <v>0</v>
      </c>
      <c r="E51" s="5">
        <f t="shared" si="11"/>
        <v>0</v>
      </c>
      <c r="F51" s="6">
        <f t="shared" si="9"/>
        <v>0</v>
      </c>
      <c r="G51" s="4">
        <v>0</v>
      </c>
      <c r="H51" s="4">
        <v>0</v>
      </c>
      <c r="I51" s="7">
        <f t="shared" si="12"/>
        <v>0</v>
      </c>
      <c r="J51" s="15">
        <f t="shared" si="13"/>
        <v>0</v>
      </c>
    </row>
    <row r="52" spans="1:10" x14ac:dyDescent="0.3">
      <c r="A52" s="13">
        <v>45739</v>
      </c>
      <c r="B52" s="1"/>
      <c r="C52" s="3"/>
      <c r="D52" s="4">
        <v>0</v>
      </c>
      <c r="E52" s="5">
        <f t="shared" si="11"/>
        <v>0</v>
      </c>
      <c r="F52" s="6">
        <f t="shared" si="9"/>
        <v>0</v>
      </c>
      <c r="G52" s="4">
        <v>0</v>
      </c>
      <c r="H52" s="4">
        <v>0</v>
      </c>
      <c r="I52" s="7">
        <f t="shared" si="12"/>
        <v>0</v>
      </c>
      <c r="J52" s="15">
        <f t="shared" si="13"/>
        <v>0</v>
      </c>
    </row>
    <row r="53" spans="1:10" x14ac:dyDescent="0.3">
      <c r="A53" s="13">
        <v>45740</v>
      </c>
      <c r="B53" s="1">
        <v>109</v>
      </c>
      <c r="C53" s="3">
        <f t="shared" ref="C53:C57" si="14">B53/10</f>
        <v>10.9</v>
      </c>
      <c r="D53" s="4">
        <v>4.09</v>
      </c>
      <c r="E53" s="5">
        <f t="shared" si="11"/>
        <v>44.581000000000003</v>
      </c>
      <c r="F53" s="6">
        <f>B53*0.14</f>
        <v>15.260000000000002</v>
      </c>
      <c r="G53" s="4">
        <v>14.39</v>
      </c>
      <c r="H53" s="4">
        <v>193.8</v>
      </c>
      <c r="I53" s="7">
        <f t="shared" si="12"/>
        <v>59.841000000000008</v>
      </c>
      <c r="J53" s="15">
        <f t="shared" si="13"/>
        <v>148.34899999999999</v>
      </c>
    </row>
    <row r="54" spans="1:10" x14ac:dyDescent="0.3">
      <c r="A54" s="13">
        <v>45741</v>
      </c>
      <c r="B54" s="1">
        <v>102</v>
      </c>
      <c r="C54" s="3">
        <f t="shared" si="14"/>
        <v>10.199999999999999</v>
      </c>
      <c r="D54" s="4">
        <v>4.12</v>
      </c>
      <c r="E54" s="5">
        <f t="shared" si="11"/>
        <v>42.024000000000001</v>
      </c>
      <c r="F54" s="6">
        <f t="shared" ref="F54:F60" si="15">B54*0.14</f>
        <v>14.280000000000001</v>
      </c>
      <c r="G54" s="4">
        <v>120.9</v>
      </c>
      <c r="H54" s="4">
        <v>39.24</v>
      </c>
      <c r="I54" s="7">
        <f t="shared" si="12"/>
        <v>56.304000000000002</v>
      </c>
      <c r="J54" s="15">
        <f t="shared" si="13"/>
        <v>103.83600000000001</v>
      </c>
    </row>
    <row r="55" spans="1:10" x14ac:dyDescent="0.3">
      <c r="A55" s="13">
        <v>45742</v>
      </c>
      <c r="B55" s="1">
        <v>185</v>
      </c>
      <c r="C55" s="3">
        <f t="shared" si="14"/>
        <v>18.5</v>
      </c>
      <c r="D55" s="4">
        <v>4.12</v>
      </c>
      <c r="E55" s="5">
        <f t="shared" si="11"/>
        <v>76.22</v>
      </c>
      <c r="F55" s="6">
        <f t="shared" si="15"/>
        <v>25.900000000000002</v>
      </c>
      <c r="G55" s="4">
        <v>14.71</v>
      </c>
      <c r="H55" s="4">
        <v>281.89999999999998</v>
      </c>
      <c r="I55" s="7">
        <f t="shared" si="12"/>
        <v>102.12</v>
      </c>
      <c r="J55" s="15">
        <f t="shared" si="13"/>
        <v>194.48999999999995</v>
      </c>
    </row>
    <row r="56" spans="1:10" x14ac:dyDescent="0.3">
      <c r="A56" s="13">
        <v>45743</v>
      </c>
      <c r="B56" s="1">
        <v>138</v>
      </c>
      <c r="C56" s="3">
        <f t="shared" si="14"/>
        <v>13.8</v>
      </c>
      <c r="D56" s="4">
        <v>4.12</v>
      </c>
      <c r="E56" s="5">
        <f t="shared" si="11"/>
        <v>56.856000000000002</v>
      </c>
      <c r="F56" s="6">
        <f t="shared" si="15"/>
        <v>19.32</v>
      </c>
      <c r="G56" s="4">
        <v>62.5</v>
      </c>
      <c r="H56" s="4">
        <v>194.34</v>
      </c>
      <c r="I56" s="7">
        <f t="shared" si="12"/>
        <v>76.176000000000002</v>
      </c>
      <c r="J56" s="15">
        <f t="shared" si="13"/>
        <v>180.66400000000004</v>
      </c>
    </row>
    <row r="57" spans="1:10" x14ac:dyDescent="0.3">
      <c r="A57" s="13">
        <v>45744</v>
      </c>
      <c r="B57" s="1">
        <v>162</v>
      </c>
      <c r="C57" s="3">
        <f t="shared" si="14"/>
        <v>16.2</v>
      </c>
      <c r="D57" s="4">
        <v>4.09</v>
      </c>
      <c r="E57" s="5">
        <f t="shared" si="11"/>
        <v>66.257999999999996</v>
      </c>
      <c r="F57" s="6">
        <f t="shared" si="15"/>
        <v>22.680000000000003</v>
      </c>
      <c r="G57" s="4">
        <v>22.37</v>
      </c>
      <c r="H57" s="4">
        <v>281.25</v>
      </c>
      <c r="I57" s="7">
        <f t="shared" si="12"/>
        <v>88.938000000000002</v>
      </c>
      <c r="J57" s="15">
        <f t="shared" si="13"/>
        <v>214.68200000000002</v>
      </c>
    </row>
    <row r="58" spans="1:10" x14ac:dyDescent="0.3">
      <c r="A58" s="13">
        <v>45745</v>
      </c>
      <c r="B58" s="1"/>
      <c r="C58" s="3"/>
      <c r="D58" s="4">
        <v>0</v>
      </c>
      <c r="E58" s="5">
        <f t="shared" si="11"/>
        <v>0</v>
      </c>
      <c r="F58" s="6">
        <f t="shared" si="15"/>
        <v>0</v>
      </c>
      <c r="G58" s="4">
        <v>0</v>
      </c>
      <c r="H58" s="4">
        <v>0</v>
      </c>
      <c r="I58" s="7">
        <f t="shared" si="12"/>
        <v>0</v>
      </c>
      <c r="J58" s="15">
        <f t="shared" si="13"/>
        <v>0</v>
      </c>
    </row>
    <row r="59" spans="1:10" x14ac:dyDescent="0.3">
      <c r="A59" s="13">
        <v>45746</v>
      </c>
      <c r="B59" s="1"/>
      <c r="C59" s="3"/>
      <c r="D59" s="4">
        <v>0</v>
      </c>
      <c r="E59" s="5">
        <f t="shared" si="11"/>
        <v>0</v>
      </c>
      <c r="F59" s="6">
        <f t="shared" si="15"/>
        <v>0</v>
      </c>
      <c r="G59" s="4">
        <v>0</v>
      </c>
      <c r="H59" s="4">
        <v>0</v>
      </c>
      <c r="I59" s="7">
        <f t="shared" si="12"/>
        <v>0</v>
      </c>
      <c r="J59" s="15">
        <f t="shared" si="13"/>
        <v>0</v>
      </c>
    </row>
    <row r="60" spans="1:10" x14ac:dyDescent="0.3">
      <c r="A60" s="13">
        <v>45747</v>
      </c>
      <c r="B60" s="8">
        <v>232.1</v>
      </c>
      <c r="C60" s="9">
        <f>B60/10</f>
        <v>23.21</v>
      </c>
      <c r="D60" s="10">
        <v>4.07</v>
      </c>
      <c r="E60" s="11">
        <f t="shared" si="11"/>
        <v>94.464700000000008</v>
      </c>
      <c r="F60" s="6">
        <f t="shared" si="15"/>
        <v>32.494</v>
      </c>
      <c r="G60" s="10">
        <v>104.4</v>
      </c>
      <c r="H60" s="10">
        <v>332.05</v>
      </c>
      <c r="I60" s="12">
        <f t="shared" si="12"/>
        <v>126.95870000000001</v>
      </c>
      <c r="J60" s="16">
        <f t="shared" si="13"/>
        <v>309.49130000000002</v>
      </c>
    </row>
    <row r="61" spans="1:10" x14ac:dyDescent="0.3">
      <c r="A61" s="13">
        <v>45748</v>
      </c>
      <c r="B61" s="1">
        <v>145</v>
      </c>
      <c r="C61" s="3">
        <f>B61/10</f>
        <v>14.5</v>
      </c>
      <c r="D61" s="4">
        <v>4.12</v>
      </c>
      <c r="E61" s="5">
        <f t="shared" si="11"/>
        <v>59.74</v>
      </c>
      <c r="F61" s="6">
        <f>B61*0.13</f>
        <v>18.850000000000001</v>
      </c>
      <c r="G61" s="4">
        <v>13.76</v>
      </c>
      <c r="H61" s="4">
        <v>231.52</v>
      </c>
      <c r="I61" s="7">
        <f t="shared" si="12"/>
        <v>78.59</v>
      </c>
      <c r="J61" s="15">
        <f t="shared" si="13"/>
        <v>166.69</v>
      </c>
    </row>
    <row r="62" spans="1:10" x14ac:dyDescent="0.3">
      <c r="A62" s="13">
        <v>45749</v>
      </c>
      <c r="B62" s="1">
        <v>118.4</v>
      </c>
      <c r="C62" s="3">
        <f t="shared" ref="C62:C88" si="16">B62/10</f>
        <v>11.84</v>
      </c>
      <c r="D62" s="4">
        <v>4.12</v>
      </c>
      <c r="E62" s="5">
        <f t="shared" si="11"/>
        <v>48.780799999999999</v>
      </c>
      <c r="F62" s="6">
        <f t="shared" ref="F62:F90" si="17">B62*0.13</f>
        <v>15.392000000000001</v>
      </c>
      <c r="G62" s="4">
        <v>12.73</v>
      </c>
      <c r="H62" s="4">
        <v>174.71</v>
      </c>
      <c r="I62" s="7">
        <f t="shared" si="12"/>
        <v>64.172799999999995</v>
      </c>
      <c r="J62" s="15">
        <f t="shared" si="13"/>
        <v>123.2672</v>
      </c>
    </row>
    <row r="63" spans="1:10" x14ac:dyDescent="0.3">
      <c r="A63" s="13">
        <v>45750</v>
      </c>
      <c r="B63" s="1">
        <v>153.69999999999999</v>
      </c>
      <c r="C63" s="3">
        <f t="shared" si="16"/>
        <v>15.37</v>
      </c>
      <c r="D63" s="4">
        <v>4.12</v>
      </c>
      <c r="E63" s="5">
        <f t="shared" si="11"/>
        <v>63.324399999999997</v>
      </c>
      <c r="F63" s="6">
        <f t="shared" si="17"/>
        <v>19.980999999999998</v>
      </c>
      <c r="G63" s="4">
        <v>101.02</v>
      </c>
      <c r="H63" s="4">
        <v>140.44</v>
      </c>
      <c r="I63" s="7">
        <f t="shared" si="12"/>
        <v>83.305399999999992</v>
      </c>
      <c r="J63" s="15">
        <f t="shared" si="13"/>
        <v>158.15459999999999</v>
      </c>
    </row>
    <row r="64" spans="1:10" x14ac:dyDescent="0.3">
      <c r="A64" s="13">
        <v>45751</v>
      </c>
      <c r="B64" s="1">
        <v>163.80000000000001</v>
      </c>
      <c r="C64" s="3">
        <f t="shared" si="16"/>
        <v>16.380000000000003</v>
      </c>
      <c r="D64" s="4">
        <v>4.09</v>
      </c>
      <c r="E64" s="5">
        <f t="shared" si="11"/>
        <v>66.994200000000006</v>
      </c>
      <c r="F64" s="6">
        <f t="shared" si="17"/>
        <v>21.294</v>
      </c>
      <c r="G64" s="4">
        <v>43.22</v>
      </c>
      <c r="H64" s="4">
        <v>217.76</v>
      </c>
      <c r="I64" s="7">
        <f t="shared" si="12"/>
        <v>88.288200000000003</v>
      </c>
      <c r="J64" s="15">
        <f t="shared" si="13"/>
        <v>172.6918</v>
      </c>
    </row>
    <row r="65" spans="1:10" x14ac:dyDescent="0.3">
      <c r="A65" s="13">
        <v>45752</v>
      </c>
      <c r="B65" s="1"/>
      <c r="C65" s="3"/>
      <c r="D65" s="4">
        <v>1E-3</v>
      </c>
      <c r="E65" s="5">
        <v>1E-3</v>
      </c>
      <c r="F65" s="6">
        <v>1E-3</v>
      </c>
      <c r="G65" s="4">
        <v>1E-3</v>
      </c>
      <c r="H65" s="4">
        <v>1E-3</v>
      </c>
      <c r="I65" s="7">
        <v>1E-3</v>
      </c>
      <c r="J65" s="15"/>
    </row>
    <row r="66" spans="1:10" x14ac:dyDescent="0.3">
      <c r="A66" s="13">
        <v>45753</v>
      </c>
      <c r="B66" s="1"/>
      <c r="C66" s="3"/>
      <c r="D66" s="4">
        <v>1E-3</v>
      </c>
      <c r="E66" s="5">
        <v>1E-3</v>
      </c>
      <c r="F66" s="6">
        <v>1E-3</v>
      </c>
      <c r="G66" s="4">
        <v>1E-3</v>
      </c>
      <c r="H66" s="4">
        <v>1E-3</v>
      </c>
      <c r="I66" s="7">
        <v>1E-3</v>
      </c>
      <c r="J66" s="15"/>
    </row>
    <row r="67" spans="1:10" x14ac:dyDescent="0.3">
      <c r="A67" s="13">
        <v>45754</v>
      </c>
      <c r="B67" s="1">
        <v>150.80000000000001</v>
      </c>
      <c r="C67" s="3">
        <f>B67/10</f>
        <v>15.080000000000002</v>
      </c>
      <c r="D67" s="4">
        <v>3.78</v>
      </c>
      <c r="E67" s="5">
        <f>C67*D67</f>
        <v>57.002400000000002</v>
      </c>
      <c r="F67" s="6">
        <f>B67*0.13</f>
        <v>19.604000000000003</v>
      </c>
      <c r="G67" s="4">
        <v>1E-3</v>
      </c>
      <c r="H67" s="4">
        <v>280.31</v>
      </c>
      <c r="I67" s="7">
        <f>E67+F67</f>
        <v>76.606400000000008</v>
      </c>
      <c r="J67" s="15">
        <f>G67+H67-I67</f>
        <v>203.70459999999997</v>
      </c>
    </row>
    <row r="68" spans="1:10" x14ac:dyDescent="0.3">
      <c r="A68" s="13">
        <v>45755</v>
      </c>
      <c r="B68" s="1">
        <v>112.4</v>
      </c>
      <c r="C68" s="3">
        <f>B68/10</f>
        <v>11.24</v>
      </c>
      <c r="D68" s="4">
        <v>3.78</v>
      </c>
      <c r="E68" s="5">
        <f>C68*D68</f>
        <v>42.487200000000001</v>
      </c>
      <c r="F68" s="6">
        <f>B68*0.13</f>
        <v>14.612000000000002</v>
      </c>
      <c r="G68" s="4">
        <v>13.37</v>
      </c>
      <c r="H68" s="4">
        <v>209.69</v>
      </c>
      <c r="I68" s="7">
        <f>E68+F68</f>
        <v>57.099200000000003</v>
      </c>
      <c r="J68" s="15">
        <f>G68+H68-I68</f>
        <v>165.96080000000001</v>
      </c>
    </row>
    <row r="69" spans="1:10" x14ac:dyDescent="0.3">
      <c r="A69" s="13">
        <v>45756</v>
      </c>
      <c r="B69" s="1">
        <v>185.3</v>
      </c>
      <c r="C69" s="3">
        <f t="shared" si="16"/>
        <v>18.53</v>
      </c>
      <c r="D69" s="4">
        <v>4.09</v>
      </c>
      <c r="E69" s="5">
        <f t="shared" si="11"/>
        <v>75.787700000000001</v>
      </c>
      <c r="F69" s="6">
        <f t="shared" si="17"/>
        <v>24.089000000000002</v>
      </c>
      <c r="G69" s="4">
        <v>37.770000000000003</v>
      </c>
      <c r="H69" s="4">
        <v>304.19</v>
      </c>
      <c r="I69" s="7">
        <f t="shared" si="12"/>
        <v>99.8767</v>
      </c>
      <c r="J69" s="15">
        <f t="shared" si="13"/>
        <v>242.08329999999998</v>
      </c>
    </row>
    <row r="70" spans="1:10" x14ac:dyDescent="0.3">
      <c r="A70" s="13">
        <v>45757</v>
      </c>
      <c r="B70" s="1">
        <v>166</v>
      </c>
      <c r="C70" s="3">
        <f t="shared" si="16"/>
        <v>16.600000000000001</v>
      </c>
      <c r="D70" s="4">
        <v>4.12</v>
      </c>
      <c r="E70" s="5">
        <f t="shared" si="11"/>
        <v>68.39200000000001</v>
      </c>
      <c r="F70" s="6">
        <f t="shared" si="17"/>
        <v>21.580000000000002</v>
      </c>
      <c r="G70" s="4">
        <v>20.309999999999999</v>
      </c>
      <c r="H70" s="4">
        <v>242.55</v>
      </c>
      <c r="I70" s="7">
        <f t="shared" si="12"/>
        <v>89.972000000000008</v>
      </c>
      <c r="J70" s="15">
        <f t="shared" si="13"/>
        <v>172.88800000000001</v>
      </c>
    </row>
    <row r="71" spans="1:10" x14ac:dyDescent="0.3">
      <c r="A71" s="13">
        <v>45758</v>
      </c>
      <c r="B71" s="1">
        <v>161.80000000000001</v>
      </c>
      <c r="C71" s="3">
        <f t="shared" si="16"/>
        <v>16.18</v>
      </c>
      <c r="D71" s="4">
        <v>4.09</v>
      </c>
      <c r="E71" s="5">
        <f t="shared" si="11"/>
        <v>66.176199999999994</v>
      </c>
      <c r="F71" s="6">
        <f t="shared" si="17"/>
        <v>21.034000000000002</v>
      </c>
      <c r="G71" s="4">
        <v>71.02</v>
      </c>
      <c r="H71" s="4">
        <v>195.3</v>
      </c>
      <c r="I71" s="7">
        <f t="shared" si="12"/>
        <v>87.2102</v>
      </c>
      <c r="J71" s="15">
        <f t="shared" si="13"/>
        <v>179.10980000000001</v>
      </c>
    </row>
    <row r="72" spans="1:10" x14ac:dyDescent="0.3">
      <c r="A72" s="13">
        <v>45759</v>
      </c>
      <c r="B72" s="1"/>
      <c r="C72" s="3"/>
      <c r="D72" s="4">
        <v>1E-3</v>
      </c>
      <c r="E72" s="5">
        <v>1E-3</v>
      </c>
      <c r="F72" s="6">
        <v>1E-3</v>
      </c>
      <c r="G72" s="4">
        <v>1E-3</v>
      </c>
      <c r="H72" s="4">
        <v>1E-3</v>
      </c>
      <c r="I72" s="7">
        <v>1E-3</v>
      </c>
      <c r="J72" s="15">
        <f t="shared" si="13"/>
        <v>1E-3</v>
      </c>
    </row>
    <row r="73" spans="1:10" x14ac:dyDescent="0.3">
      <c r="A73" s="13">
        <v>45760</v>
      </c>
      <c r="B73" s="1"/>
      <c r="C73" s="3"/>
      <c r="D73" s="4">
        <v>1E-3</v>
      </c>
      <c r="E73" s="5">
        <v>1E-3</v>
      </c>
      <c r="F73" s="6">
        <v>1E-3</v>
      </c>
      <c r="G73" s="4">
        <v>1E-3</v>
      </c>
      <c r="H73" s="4">
        <v>1E-3</v>
      </c>
      <c r="I73" s="7">
        <v>1E-3</v>
      </c>
      <c r="J73" s="15">
        <f t="shared" si="13"/>
        <v>1E-3</v>
      </c>
    </row>
    <row r="74" spans="1:10" x14ac:dyDescent="0.3">
      <c r="A74" s="13">
        <v>45761</v>
      </c>
      <c r="B74" s="1">
        <v>153.30000000000001</v>
      </c>
      <c r="C74" s="3">
        <f t="shared" si="16"/>
        <v>15.330000000000002</v>
      </c>
      <c r="D74" s="4">
        <v>4.09</v>
      </c>
      <c r="E74" s="5">
        <f t="shared" si="11"/>
        <v>62.699700000000007</v>
      </c>
      <c r="F74" s="6">
        <f t="shared" si="17"/>
        <v>19.929000000000002</v>
      </c>
      <c r="G74" s="4">
        <v>10.49</v>
      </c>
      <c r="H74" s="4">
        <v>276.97000000000003</v>
      </c>
      <c r="I74" s="7">
        <f t="shared" si="12"/>
        <v>82.628700000000009</v>
      </c>
      <c r="J74" s="15">
        <f t="shared" si="13"/>
        <v>204.83130000000003</v>
      </c>
    </row>
    <row r="75" spans="1:10" x14ac:dyDescent="0.3">
      <c r="A75" s="13">
        <v>45762</v>
      </c>
      <c r="B75" s="1">
        <v>96.3</v>
      </c>
      <c r="C75" s="3">
        <f t="shared" si="16"/>
        <v>9.629999999999999</v>
      </c>
      <c r="D75" s="4">
        <v>4.12</v>
      </c>
      <c r="E75" s="5">
        <f t="shared" si="11"/>
        <v>39.675599999999996</v>
      </c>
      <c r="F75" s="6">
        <f t="shared" si="17"/>
        <v>12.519</v>
      </c>
      <c r="G75" s="4">
        <v>9.91</v>
      </c>
      <c r="H75" s="4">
        <v>126.1</v>
      </c>
      <c r="I75" s="7">
        <f t="shared" si="12"/>
        <v>52.194599999999994</v>
      </c>
      <c r="J75" s="15">
        <f t="shared" si="13"/>
        <v>83.815399999999997</v>
      </c>
    </row>
    <row r="76" spans="1:10" x14ac:dyDescent="0.3">
      <c r="A76" s="13">
        <v>45763</v>
      </c>
      <c r="B76" s="1">
        <v>151.4</v>
      </c>
      <c r="C76" s="3">
        <f t="shared" si="16"/>
        <v>15.14</v>
      </c>
      <c r="D76" s="4">
        <v>4.09</v>
      </c>
      <c r="E76" s="5">
        <f t="shared" si="11"/>
        <v>61.922600000000003</v>
      </c>
      <c r="F76" s="6">
        <f t="shared" si="17"/>
        <v>19.682000000000002</v>
      </c>
      <c r="G76" s="4">
        <v>1E-3</v>
      </c>
      <c r="H76" s="4">
        <v>337.41</v>
      </c>
      <c r="I76" s="7">
        <f t="shared" si="12"/>
        <v>81.604600000000005</v>
      </c>
      <c r="J76" s="15">
        <f t="shared" si="13"/>
        <v>255.8064</v>
      </c>
    </row>
    <row r="77" spans="1:10" x14ac:dyDescent="0.3">
      <c r="A77" s="13">
        <v>45764</v>
      </c>
      <c r="B77" s="1">
        <v>193.6</v>
      </c>
      <c r="C77" s="3">
        <f t="shared" si="16"/>
        <v>19.36</v>
      </c>
      <c r="D77" s="4">
        <v>4.12</v>
      </c>
      <c r="E77" s="5">
        <f t="shared" si="11"/>
        <v>79.763199999999998</v>
      </c>
      <c r="F77" s="6">
        <f t="shared" si="17"/>
        <v>25.167999999999999</v>
      </c>
      <c r="G77" s="4">
        <v>107.65</v>
      </c>
      <c r="H77" s="4">
        <v>197.14</v>
      </c>
      <c r="I77" s="7">
        <f t="shared" si="12"/>
        <v>104.93119999999999</v>
      </c>
      <c r="J77" s="15">
        <f t="shared" si="13"/>
        <v>199.85879999999997</v>
      </c>
    </row>
    <row r="78" spans="1:10" x14ac:dyDescent="0.3">
      <c r="A78" s="13">
        <v>45765</v>
      </c>
      <c r="B78" s="1"/>
      <c r="C78" s="3">
        <v>0</v>
      </c>
      <c r="D78" s="4">
        <v>1E-3</v>
      </c>
      <c r="E78" s="5">
        <v>1E-3</v>
      </c>
      <c r="F78" s="6">
        <v>1E-3</v>
      </c>
      <c r="G78" s="4">
        <v>1E-3</v>
      </c>
      <c r="H78" s="4">
        <v>1E-3</v>
      </c>
      <c r="I78" s="7">
        <v>1E-3</v>
      </c>
      <c r="J78" s="15">
        <f t="shared" si="13"/>
        <v>1E-3</v>
      </c>
    </row>
    <row r="79" spans="1:10" x14ac:dyDescent="0.3">
      <c r="A79" s="13">
        <v>45766</v>
      </c>
      <c r="B79" s="1">
        <v>102</v>
      </c>
      <c r="C79" s="3">
        <f t="shared" si="16"/>
        <v>10.199999999999999</v>
      </c>
      <c r="D79" s="4">
        <v>4.12</v>
      </c>
      <c r="E79" s="5">
        <f t="shared" si="11"/>
        <v>42.024000000000001</v>
      </c>
      <c r="F79" s="6">
        <f t="shared" si="17"/>
        <v>13.26</v>
      </c>
      <c r="G79" s="4">
        <v>1E-3</v>
      </c>
      <c r="H79" s="4">
        <v>201.23</v>
      </c>
      <c r="I79" s="7">
        <f t="shared" si="12"/>
        <v>55.283999999999999</v>
      </c>
      <c r="J79" s="15">
        <f t="shared" si="13"/>
        <v>145.947</v>
      </c>
    </row>
    <row r="80" spans="1:10" x14ac:dyDescent="0.3">
      <c r="A80" s="13">
        <v>45767</v>
      </c>
      <c r="B80" s="1"/>
      <c r="C80" s="3"/>
      <c r="D80" s="4">
        <v>1E-3</v>
      </c>
      <c r="E80" s="5">
        <v>1E-3</v>
      </c>
      <c r="F80" s="6">
        <v>1E-3</v>
      </c>
      <c r="G80" s="4">
        <v>1E-3</v>
      </c>
      <c r="H80" s="4">
        <v>1E-3</v>
      </c>
      <c r="I80" s="7">
        <v>1E-3</v>
      </c>
      <c r="J80" s="15">
        <f t="shared" si="13"/>
        <v>1E-3</v>
      </c>
    </row>
    <row r="81" spans="1:10" x14ac:dyDescent="0.3">
      <c r="A81" s="13">
        <v>45768</v>
      </c>
      <c r="B81" s="1"/>
      <c r="C81" s="3"/>
      <c r="D81" s="4">
        <v>1E-3</v>
      </c>
      <c r="E81" s="5">
        <v>1E-3</v>
      </c>
      <c r="F81" s="6">
        <v>1E-3</v>
      </c>
      <c r="G81" s="4">
        <v>1E-3</v>
      </c>
      <c r="H81" s="4">
        <v>1E-3</v>
      </c>
      <c r="I81" s="7">
        <v>1E-3</v>
      </c>
      <c r="J81" s="15"/>
    </row>
    <row r="82" spans="1:10" x14ac:dyDescent="0.3">
      <c r="A82" s="13">
        <v>45769</v>
      </c>
      <c r="B82" s="1">
        <v>154.1</v>
      </c>
      <c r="C82" s="3">
        <f>B82/10</f>
        <v>15.41</v>
      </c>
      <c r="D82" s="4">
        <v>4.1399999999999997</v>
      </c>
      <c r="E82" s="5">
        <f>C82*D82</f>
        <v>63.797399999999996</v>
      </c>
      <c r="F82" s="6">
        <f>B82*0.13</f>
        <v>20.033000000000001</v>
      </c>
      <c r="G82" s="4">
        <v>11.29</v>
      </c>
      <c r="H82" s="4">
        <v>265.31</v>
      </c>
      <c r="I82" s="7">
        <f>E82+F82</f>
        <v>83.830399999999997</v>
      </c>
      <c r="J82" s="15">
        <f>G82+H82-I82</f>
        <v>192.76960000000003</v>
      </c>
    </row>
    <row r="83" spans="1:10" x14ac:dyDescent="0.3">
      <c r="A83" s="13">
        <v>45770</v>
      </c>
      <c r="B83" s="1">
        <v>177.3</v>
      </c>
      <c r="C83" s="3">
        <f>B83/10</f>
        <v>17.73</v>
      </c>
      <c r="D83" s="4">
        <v>4.12</v>
      </c>
      <c r="E83" s="5">
        <f>C83*D83</f>
        <v>73.047600000000003</v>
      </c>
      <c r="F83" s="6">
        <f>B83*0.13</f>
        <v>23.049000000000003</v>
      </c>
      <c r="G83" s="4">
        <v>100.26</v>
      </c>
      <c r="H83" s="4">
        <v>161.5</v>
      </c>
      <c r="I83" s="7">
        <f>E83+F83</f>
        <v>96.096600000000009</v>
      </c>
      <c r="J83" s="15">
        <f>G83+H83-I83</f>
        <v>165.66339999999997</v>
      </c>
    </row>
    <row r="84" spans="1:10" x14ac:dyDescent="0.3">
      <c r="A84" s="13">
        <v>45771</v>
      </c>
      <c r="B84" s="1">
        <v>176.8</v>
      </c>
      <c r="C84" s="3">
        <f t="shared" si="16"/>
        <v>17.68</v>
      </c>
      <c r="D84" s="4">
        <v>4.12</v>
      </c>
      <c r="E84" s="5">
        <f t="shared" si="11"/>
        <v>72.8416</v>
      </c>
      <c r="F84" s="6">
        <f t="shared" si="17"/>
        <v>22.984000000000002</v>
      </c>
      <c r="G84" s="4">
        <v>16.309999999999999</v>
      </c>
      <c r="H84" s="4">
        <v>273.55</v>
      </c>
      <c r="I84" s="7">
        <f t="shared" si="12"/>
        <v>95.825600000000009</v>
      </c>
      <c r="J84" s="15">
        <f t="shared" si="13"/>
        <v>194.03440000000001</v>
      </c>
    </row>
    <row r="85" spans="1:10" x14ac:dyDescent="0.3">
      <c r="A85" s="13">
        <v>45772</v>
      </c>
      <c r="B85" s="1">
        <v>202</v>
      </c>
      <c r="C85" s="3">
        <f t="shared" si="16"/>
        <v>20.2</v>
      </c>
      <c r="D85" s="4">
        <v>3.74</v>
      </c>
      <c r="E85" s="5">
        <f t="shared" si="11"/>
        <v>75.548000000000002</v>
      </c>
      <c r="F85" s="6">
        <f t="shared" si="17"/>
        <v>26.26</v>
      </c>
      <c r="G85" s="4">
        <v>60.28</v>
      </c>
      <c r="H85" s="4">
        <v>293.55</v>
      </c>
      <c r="I85" s="7">
        <f t="shared" si="12"/>
        <v>101.80800000000001</v>
      </c>
      <c r="J85" s="15">
        <f t="shared" si="13"/>
        <v>252.02200000000005</v>
      </c>
    </row>
    <row r="86" spans="1:10" x14ac:dyDescent="0.3">
      <c r="A86" s="13">
        <v>45773</v>
      </c>
      <c r="B86" s="1"/>
      <c r="C86" s="3"/>
      <c r="D86" s="4">
        <v>1E-3</v>
      </c>
      <c r="E86" s="5">
        <v>1E-3</v>
      </c>
      <c r="F86" s="6">
        <v>1E-3</v>
      </c>
      <c r="G86" s="4">
        <v>1E-3</v>
      </c>
      <c r="H86" s="4">
        <v>1E-3</v>
      </c>
      <c r="I86" s="7">
        <v>1E-3</v>
      </c>
      <c r="J86" s="15">
        <f t="shared" si="13"/>
        <v>1E-3</v>
      </c>
    </row>
    <row r="87" spans="1:10" x14ac:dyDescent="0.3">
      <c r="A87" s="13">
        <v>45774</v>
      </c>
      <c r="B87" s="1"/>
      <c r="C87" s="3"/>
      <c r="D87" s="4">
        <v>1E-3</v>
      </c>
      <c r="E87" s="5">
        <v>1E-3</v>
      </c>
      <c r="F87" s="6">
        <v>1E-3</v>
      </c>
      <c r="G87" s="4">
        <v>1E-3</v>
      </c>
      <c r="H87" s="4">
        <v>1E-3</v>
      </c>
      <c r="I87" s="7">
        <v>1E-3</v>
      </c>
      <c r="J87" s="15">
        <f t="shared" si="13"/>
        <v>1E-3</v>
      </c>
    </row>
    <row r="88" spans="1:10" x14ac:dyDescent="0.3">
      <c r="A88" s="13">
        <v>45775</v>
      </c>
      <c r="B88" s="1">
        <v>213</v>
      </c>
      <c r="C88" s="3">
        <f t="shared" si="16"/>
        <v>21.3</v>
      </c>
      <c r="D88" s="4">
        <v>3.74</v>
      </c>
      <c r="E88" s="5">
        <f t="shared" si="11"/>
        <v>79.662000000000006</v>
      </c>
      <c r="F88" s="6">
        <f t="shared" si="17"/>
        <v>27.69</v>
      </c>
      <c r="G88" s="4">
        <v>20.49</v>
      </c>
      <c r="H88" s="4">
        <v>303.49</v>
      </c>
      <c r="I88" s="7">
        <f t="shared" si="12"/>
        <v>107.352</v>
      </c>
      <c r="J88" s="15">
        <f t="shared" si="13"/>
        <v>216.62800000000001</v>
      </c>
    </row>
    <row r="89" spans="1:10" x14ac:dyDescent="0.3">
      <c r="A89" s="13">
        <v>45776</v>
      </c>
      <c r="B89" s="1">
        <v>152.69999999999999</v>
      </c>
      <c r="C89" s="3">
        <f>B89/9.48</f>
        <v>16.10759493670886</v>
      </c>
      <c r="D89" s="4">
        <v>3.89</v>
      </c>
      <c r="E89" s="5">
        <f t="shared" si="11"/>
        <v>62.65854430379747</v>
      </c>
      <c r="F89" s="6">
        <f t="shared" si="17"/>
        <v>19.850999999999999</v>
      </c>
      <c r="G89" s="4">
        <v>1E-3</v>
      </c>
      <c r="H89" s="4">
        <v>252.26</v>
      </c>
      <c r="I89" s="7">
        <f t="shared" si="12"/>
        <v>82.509544303797469</v>
      </c>
      <c r="J89" s="15">
        <f t="shared" si="13"/>
        <v>169.75145569620253</v>
      </c>
    </row>
    <row r="90" spans="1:10" x14ac:dyDescent="0.3">
      <c r="A90" s="13">
        <v>45777</v>
      </c>
      <c r="B90" s="1">
        <v>187.5</v>
      </c>
      <c r="C90" s="3">
        <f>B90/10</f>
        <v>18.75</v>
      </c>
      <c r="D90" s="4">
        <v>3.89</v>
      </c>
      <c r="E90" s="5">
        <f t="shared" si="11"/>
        <v>72.9375</v>
      </c>
      <c r="F90" s="6">
        <f t="shared" si="17"/>
        <v>24.375</v>
      </c>
      <c r="G90" s="4">
        <v>18.3</v>
      </c>
      <c r="H90" s="4">
        <v>280.87</v>
      </c>
      <c r="I90" s="7">
        <f t="shared" si="12"/>
        <v>97.3125</v>
      </c>
      <c r="J90" s="15">
        <f t="shared" si="13"/>
        <v>201.85750000000002</v>
      </c>
    </row>
    <row r="91" spans="1:10" x14ac:dyDescent="0.3">
      <c r="A91" s="13">
        <v>45778</v>
      </c>
      <c r="B91" s="1"/>
      <c r="C91" s="3"/>
      <c r="D91" s="4">
        <v>0</v>
      </c>
      <c r="E91" s="5">
        <f t="shared" si="11"/>
        <v>0</v>
      </c>
      <c r="F91" s="6">
        <f>B91*0.13</f>
        <v>0</v>
      </c>
      <c r="G91" s="4">
        <v>0</v>
      </c>
      <c r="H91" s="4">
        <v>0</v>
      </c>
      <c r="I91" s="7">
        <f>E91+F91</f>
        <v>0</v>
      </c>
      <c r="J91" s="15">
        <f t="shared" si="13"/>
        <v>0</v>
      </c>
    </row>
    <row r="92" spans="1:10" x14ac:dyDescent="0.3">
      <c r="A92" s="13">
        <v>45779</v>
      </c>
      <c r="B92" s="1"/>
      <c r="C92" s="3"/>
      <c r="D92" s="4">
        <v>0</v>
      </c>
      <c r="E92" s="5">
        <f t="shared" si="11"/>
        <v>0</v>
      </c>
      <c r="F92" s="6">
        <f t="shared" ref="F92:F121" si="18">B92*0.13</f>
        <v>0</v>
      </c>
      <c r="G92" s="4">
        <v>0</v>
      </c>
      <c r="H92" s="4">
        <v>0</v>
      </c>
      <c r="I92" s="7">
        <f t="shared" ref="I92:I121" si="19">E92+F92</f>
        <v>0</v>
      </c>
      <c r="J92" s="15">
        <f t="shared" si="13"/>
        <v>0</v>
      </c>
    </row>
    <row r="93" spans="1:10" x14ac:dyDescent="0.3">
      <c r="A93" s="13">
        <v>45780</v>
      </c>
      <c r="B93" s="1"/>
      <c r="C93" s="3"/>
      <c r="D93" s="4">
        <v>0</v>
      </c>
      <c r="E93" s="5">
        <f t="shared" si="11"/>
        <v>0</v>
      </c>
      <c r="F93" s="6">
        <f t="shared" si="18"/>
        <v>0</v>
      </c>
      <c r="G93" s="4">
        <v>0</v>
      </c>
      <c r="H93" s="4">
        <v>0</v>
      </c>
      <c r="I93" s="7">
        <f t="shared" si="19"/>
        <v>0</v>
      </c>
      <c r="J93" s="15">
        <f t="shared" si="13"/>
        <v>0</v>
      </c>
    </row>
    <row r="94" spans="1:10" x14ac:dyDescent="0.3">
      <c r="A94" s="13">
        <v>45781</v>
      </c>
      <c r="B94" s="1"/>
      <c r="C94" s="3"/>
      <c r="D94" s="4">
        <v>0</v>
      </c>
      <c r="E94" s="5">
        <f t="shared" si="11"/>
        <v>0</v>
      </c>
      <c r="F94" s="6">
        <f t="shared" si="18"/>
        <v>0</v>
      </c>
      <c r="G94" s="4">
        <v>0</v>
      </c>
      <c r="H94" s="4">
        <v>0</v>
      </c>
      <c r="I94" s="7">
        <f t="shared" si="19"/>
        <v>0</v>
      </c>
      <c r="J94" s="15">
        <f t="shared" si="13"/>
        <v>0</v>
      </c>
    </row>
    <row r="95" spans="1:10" x14ac:dyDescent="0.3">
      <c r="A95" s="13">
        <v>45782</v>
      </c>
      <c r="B95" s="1">
        <v>179</v>
      </c>
      <c r="C95" s="3">
        <f t="shared" ref="C95:C120" si="20">B95/10</f>
        <v>17.899999999999999</v>
      </c>
      <c r="D95" s="4">
        <v>3.79</v>
      </c>
      <c r="E95" s="5">
        <f t="shared" si="11"/>
        <v>67.840999999999994</v>
      </c>
      <c r="F95" s="6">
        <f t="shared" si="18"/>
        <v>23.27</v>
      </c>
      <c r="G95" s="4">
        <v>92.85</v>
      </c>
      <c r="H95" s="4">
        <v>203.48</v>
      </c>
      <c r="I95" s="7">
        <f t="shared" si="19"/>
        <v>91.11099999999999</v>
      </c>
      <c r="J95" s="15">
        <f t="shared" si="13"/>
        <v>205.21899999999999</v>
      </c>
    </row>
    <row r="96" spans="1:10" x14ac:dyDescent="0.3">
      <c r="A96" s="13">
        <v>45783</v>
      </c>
      <c r="B96" s="1">
        <v>185.7</v>
      </c>
      <c r="C96" s="3">
        <f t="shared" si="20"/>
        <v>18.57</v>
      </c>
      <c r="D96" s="4">
        <v>3.79</v>
      </c>
      <c r="E96" s="5">
        <f t="shared" si="11"/>
        <v>70.380300000000005</v>
      </c>
      <c r="F96" s="6">
        <f t="shared" si="18"/>
        <v>24.140999999999998</v>
      </c>
      <c r="G96" s="4">
        <v>97.68</v>
      </c>
      <c r="H96" s="4">
        <v>177.93</v>
      </c>
      <c r="I96" s="7">
        <f t="shared" si="19"/>
        <v>94.521299999999997</v>
      </c>
      <c r="J96" s="15">
        <f t="shared" si="13"/>
        <v>181.08870000000002</v>
      </c>
    </row>
    <row r="97" spans="1:10" x14ac:dyDescent="0.3">
      <c r="A97" s="13">
        <v>45784</v>
      </c>
      <c r="B97" s="1">
        <v>201.6</v>
      </c>
      <c r="C97" s="3">
        <f t="shared" si="20"/>
        <v>20.16</v>
      </c>
      <c r="D97" s="4">
        <v>3.79</v>
      </c>
      <c r="E97" s="5">
        <f t="shared" si="11"/>
        <v>76.406400000000005</v>
      </c>
      <c r="F97" s="6">
        <f t="shared" si="18"/>
        <v>26.207999999999998</v>
      </c>
      <c r="G97" s="4">
        <v>20.16</v>
      </c>
      <c r="H97" s="4">
        <v>289.35000000000002</v>
      </c>
      <c r="I97" s="7">
        <f t="shared" si="19"/>
        <v>102.6144</v>
      </c>
      <c r="J97" s="15">
        <f t="shared" si="13"/>
        <v>206.89560000000006</v>
      </c>
    </row>
    <row r="98" spans="1:10" x14ac:dyDescent="0.3">
      <c r="A98" s="13">
        <v>45785</v>
      </c>
      <c r="B98" s="1">
        <v>184.1</v>
      </c>
      <c r="C98" s="3">
        <f t="shared" si="20"/>
        <v>18.41</v>
      </c>
      <c r="D98" s="4">
        <v>3.79</v>
      </c>
      <c r="E98" s="5">
        <f t="shared" ref="E98:E159" si="21">C98*D98</f>
        <v>69.773899999999998</v>
      </c>
      <c r="F98" s="6">
        <f t="shared" si="18"/>
        <v>23.933</v>
      </c>
      <c r="G98" s="4">
        <v>5.22</v>
      </c>
      <c r="H98" s="4">
        <v>369.33</v>
      </c>
      <c r="I98" s="7">
        <f t="shared" si="19"/>
        <v>93.70689999999999</v>
      </c>
      <c r="J98" s="15">
        <f t="shared" si="13"/>
        <v>280.84310000000005</v>
      </c>
    </row>
    <row r="99" spans="1:10" x14ac:dyDescent="0.3">
      <c r="A99" s="13">
        <v>45786</v>
      </c>
      <c r="B99" s="1">
        <v>202.7</v>
      </c>
      <c r="C99" s="3">
        <f t="shared" si="20"/>
        <v>20.27</v>
      </c>
      <c r="D99" s="4">
        <v>3.79</v>
      </c>
      <c r="E99" s="5">
        <f t="shared" si="21"/>
        <v>76.823300000000003</v>
      </c>
      <c r="F99" s="6">
        <f t="shared" si="18"/>
        <v>26.350999999999999</v>
      </c>
      <c r="G99" s="4">
        <v>175.64</v>
      </c>
      <c r="H99" s="4">
        <v>163.19999999999999</v>
      </c>
      <c r="I99" s="7">
        <f t="shared" si="19"/>
        <v>103.1743</v>
      </c>
      <c r="J99" s="15">
        <f t="shared" si="13"/>
        <v>235.66569999999996</v>
      </c>
    </row>
    <row r="100" spans="1:10" x14ac:dyDescent="0.3">
      <c r="A100" s="13">
        <v>45787</v>
      </c>
      <c r="B100" s="1"/>
      <c r="C100" s="3"/>
      <c r="D100" s="4">
        <v>0</v>
      </c>
      <c r="E100" s="5">
        <f t="shared" si="21"/>
        <v>0</v>
      </c>
      <c r="F100" s="6">
        <f t="shared" si="18"/>
        <v>0</v>
      </c>
      <c r="G100" s="4">
        <v>0</v>
      </c>
      <c r="H100" s="4">
        <v>0</v>
      </c>
      <c r="I100" s="7">
        <f t="shared" si="19"/>
        <v>0</v>
      </c>
      <c r="J100" s="15">
        <f t="shared" si="13"/>
        <v>0</v>
      </c>
    </row>
    <row r="101" spans="1:10" x14ac:dyDescent="0.3">
      <c r="A101" s="13">
        <v>45788</v>
      </c>
      <c r="B101" s="1"/>
      <c r="C101" s="3"/>
      <c r="D101" s="4">
        <v>0</v>
      </c>
      <c r="E101" s="5">
        <f t="shared" si="21"/>
        <v>0</v>
      </c>
      <c r="F101" s="6">
        <f t="shared" si="18"/>
        <v>0</v>
      </c>
      <c r="G101" s="4">
        <v>0</v>
      </c>
      <c r="H101" s="4">
        <v>0</v>
      </c>
      <c r="I101" s="7">
        <f t="shared" si="19"/>
        <v>0</v>
      </c>
      <c r="J101" s="15">
        <f t="shared" si="13"/>
        <v>0</v>
      </c>
    </row>
    <row r="102" spans="1:10" x14ac:dyDescent="0.3">
      <c r="A102" s="13">
        <v>45789</v>
      </c>
      <c r="B102" s="1">
        <v>241.3</v>
      </c>
      <c r="C102" s="3">
        <f t="shared" si="20"/>
        <v>24.130000000000003</v>
      </c>
      <c r="D102" s="4">
        <v>3.79</v>
      </c>
      <c r="E102" s="5">
        <f t="shared" si="21"/>
        <v>91.452700000000007</v>
      </c>
      <c r="F102" s="6">
        <f t="shared" si="18"/>
        <v>31.369000000000003</v>
      </c>
      <c r="G102" s="4">
        <v>186</v>
      </c>
      <c r="H102" s="4">
        <v>185.64</v>
      </c>
      <c r="I102" s="7">
        <f t="shared" si="19"/>
        <v>122.82170000000001</v>
      </c>
      <c r="J102" s="15">
        <f t="shared" si="13"/>
        <v>248.81829999999997</v>
      </c>
    </row>
    <row r="103" spans="1:10" x14ac:dyDescent="0.3">
      <c r="A103" s="13">
        <v>45790</v>
      </c>
      <c r="B103" s="1">
        <v>200</v>
      </c>
      <c r="C103" s="3">
        <f t="shared" si="20"/>
        <v>20</v>
      </c>
      <c r="D103" s="4">
        <v>3.79</v>
      </c>
      <c r="E103" s="5">
        <f t="shared" si="21"/>
        <v>75.8</v>
      </c>
      <c r="F103" s="6">
        <f t="shared" si="18"/>
        <v>26</v>
      </c>
      <c r="G103" s="4">
        <v>110.51</v>
      </c>
      <c r="H103" s="4">
        <v>243.07</v>
      </c>
      <c r="I103" s="7">
        <f t="shared" si="19"/>
        <v>101.8</v>
      </c>
      <c r="J103" s="15">
        <f t="shared" si="13"/>
        <v>251.77999999999997</v>
      </c>
    </row>
    <row r="104" spans="1:10" x14ac:dyDescent="0.3">
      <c r="A104" s="13">
        <v>45791</v>
      </c>
      <c r="B104" s="1">
        <v>185.6</v>
      </c>
      <c r="C104" s="3">
        <f t="shared" si="20"/>
        <v>18.559999999999999</v>
      </c>
      <c r="D104" s="4">
        <v>3.79</v>
      </c>
      <c r="E104" s="5">
        <f t="shared" si="21"/>
        <v>70.342399999999998</v>
      </c>
      <c r="F104" s="6">
        <f t="shared" si="18"/>
        <v>24.128</v>
      </c>
      <c r="G104" s="4">
        <v>131.52000000000001</v>
      </c>
      <c r="H104" s="4">
        <v>104</v>
      </c>
      <c r="I104" s="7">
        <f t="shared" si="19"/>
        <v>94.470399999999998</v>
      </c>
      <c r="J104" s="15">
        <f t="shared" si="13"/>
        <v>141.0496</v>
      </c>
    </row>
    <row r="105" spans="1:10" x14ac:dyDescent="0.3">
      <c r="A105" s="13">
        <v>45792</v>
      </c>
      <c r="B105" s="1">
        <v>239.8</v>
      </c>
      <c r="C105" s="3">
        <f t="shared" si="20"/>
        <v>23.98</v>
      </c>
      <c r="D105" s="4">
        <v>3.79</v>
      </c>
      <c r="E105" s="5">
        <f t="shared" si="21"/>
        <v>90.884200000000007</v>
      </c>
      <c r="F105" s="6">
        <f t="shared" si="18"/>
        <v>31.174000000000003</v>
      </c>
      <c r="G105" s="4">
        <v>210.65</v>
      </c>
      <c r="H105" s="4">
        <v>96.3</v>
      </c>
      <c r="I105" s="7">
        <f t="shared" si="19"/>
        <v>122.05820000000001</v>
      </c>
      <c r="J105" s="15">
        <f t="shared" si="13"/>
        <v>184.89179999999999</v>
      </c>
    </row>
    <row r="106" spans="1:10" x14ac:dyDescent="0.3">
      <c r="A106" s="13">
        <v>45793</v>
      </c>
      <c r="B106" s="1">
        <v>193.8</v>
      </c>
      <c r="C106" s="3">
        <f t="shared" si="20"/>
        <v>19.380000000000003</v>
      </c>
      <c r="D106" s="4">
        <v>3.79</v>
      </c>
      <c r="E106" s="5">
        <f t="shared" si="21"/>
        <v>73.450200000000009</v>
      </c>
      <c r="F106" s="6">
        <f t="shared" si="18"/>
        <v>25.194000000000003</v>
      </c>
      <c r="G106" s="4">
        <v>83.17</v>
      </c>
      <c r="H106" s="4">
        <v>210.67</v>
      </c>
      <c r="I106" s="7">
        <f t="shared" si="19"/>
        <v>98.644200000000012</v>
      </c>
      <c r="J106" s="15">
        <f t="shared" si="13"/>
        <v>195.19579999999996</v>
      </c>
    </row>
    <row r="107" spans="1:10" x14ac:dyDescent="0.3">
      <c r="A107" s="13">
        <v>45794</v>
      </c>
      <c r="B107" s="1"/>
      <c r="C107" s="3"/>
      <c r="D107" s="4">
        <v>0</v>
      </c>
      <c r="E107" s="5">
        <f t="shared" si="21"/>
        <v>0</v>
      </c>
      <c r="F107" s="6">
        <f t="shared" si="18"/>
        <v>0</v>
      </c>
      <c r="G107" s="4">
        <v>0</v>
      </c>
      <c r="H107" s="4">
        <v>0</v>
      </c>
      <c r="I107" s="7">
        <f t="shared" si="19"/>
        <v>0</v>
      </c>
      <c r="J107" s="15">
        <f t="shared" si="13"/>
        <v>0</v>
      </c>
    </row>
    <row r="108" spans="1:10" x14ac:dyDescent="0.3">
      <c r="A108" s="13">
        <v>45795</v>
      </c>
      <c r="B108" s="1"/>
      <c r="C108" s="3"/>
      <c r="D108" s="4">
        <v>0</v>
      </c>
      <c r="E108" s="5">
        <f t="shared" si="21"/>
        <v>0</v>
      </c>
      <c r="F108" s="6">
        <f t="shared" si="18"/>
        <v>0</v>
      </c>
      <c r="G108" s="4">
        <v>0</v>
      </c>
      <c r="H108" s="4">
        <v>0</v>
      </c>
      <c r="I108" s="7">
        <f t="shared" si="19"/>
        <v>0</v>
      </c>
      <c r="J108" s="15">
        <f t="shared" si="13"/>
        <v>0</v>
      </c>
    </row>
    <row r="109" spans="1:10" x14ac:dyDescent="0.3">
      <c r="A109" s="13">
        <v>45796</v>
      </c>
      <c r="B109" s="1">
        <v>201.2</v>
      </c>
      <c r="C109" s="3">
        <f t="shared" si="20"/>
        <v>20.119999999999997</v>
      </c>
      <c r="D109" s="4">
        <v>3.79</v>
      </c>
      <c r="E109" s="5">
        <f t="shared" si="21"/>
        <v>76.254799999999989</v>
      </c>
      <c r="F109" s="6">
        <f t="shared" si="18"/>
        <v>26.155999999999999</v>
      </c>
      <c r="G109" s="4">
        <v>175.34</v>
      </c>
      <c r="H109" s="4">
        <v>105.58</v>
      </c>
      <c r="I109" s="7">
        <f t="shared" si="19"/>
        <v>102.41079999999999</v>
      </c>
      <c r="J109" s="15">
        <f t="shared" ref="J109:J172" si="22">G109+H109-I109</f>
        <v>178.50920000000002</v>
      </c>
    </row>
    <row r="110" spans="1:10" x14ac:dyDescent="0.3">
      <c r="A110" s="13">
        <v>45797</v>
      </c>
      <c r="B110" s="1">
        <v>191.5</v>
      </c>
      <c r="C110" s="3">
        <f t="shared" si="20"/>
        <v>19.149999999999999</v>
      </c>
      <c r="D110" s="4">
        <v>3.79</v>
      </c>
      <c r="E110" s="5">
        <f t="shared" si="21"/>
        <v>72.578499999999991</v>
      </c>
      <c r="F110" s="6">
        <f t="shared" si="18"/>
        <v>24.895</v>
      </c>
      <c r="G110" s="4">
        <v>58.21</v>
      </c>
      <c r="H110" s="4">
        <v>238.03</v>
      </c>
      <c r="I110" s="7">
        <f t="shared" si="19"/>
        <v>97.473499999999987</v>
      </c>
      <c r="J110" s="15">
        <f t="shared" si="22"/>
        <v>198.76650000000001</v>
      </c>
    </row>
    <row r="111" spans="1:10" x14ac:dyDescent="0.3">
      <c r="A111" s="13">
        <v>45798</v>
      </c>
      <c r="B111" s="1">
        <v>132.5</v>
      </c>
      <c r="C111" s="3">
        <f t="shared" si="20"/>
        <v>13.25</v>
      </c>
      <c r="D111" s="4">
        <v>3.79</v>
      </c>
      <c r="E111" s="5">
        <f t="shared" si="21"/>
        <v>50.217500000000001</v>
      </c>
      <c r="F111" s="6">
        <f t="shared" si="18"/>
        <v>17.225000000000001</v>
      </c>
      <c r="G111" s="4">
        <v>15.5</v>
      </c>
      <c r="H111" s="4">
        <v>199.72</v>
      </c>
      <c r="I111" s="7">
        <f t="shared" si="19"/>
        <v>67.442499999999995</v>
      </c>
      <c r="J111" s="15">
        <f t="shared" si="22"/>
        <v>147.7775</v>
      </c>
    </row>
    <row r="112" spans="1:10" x14ac:dyDescent="0.3">
      <c r="A112" s="13">
        <v>45799</v>
      </c>
      <c r="B112" s="1">
        <v>147.6</v>
      </c>
      <c r="C112" s="3">
        <f t="shared" si="20"/>
        <v>14.76</v>
      </c>
      <c r="D112" s="4">
        <v>3.79</v>
      </c>
      <c r="E112" s="5">
        <f t="shared" si="21"/>
        <v>55.940399999999997</v>
      </c>
      <c r="F112" s="6">
        <f t="shared" si="18"/>
        <v>19.187999999999999</v>
      </c>
      <c r="G112" s="4">
        <v>56.71</v>
      </c>
      <c r="H112" s="4">
        <v>183.03</v>
      </c>
      <c r="I112" s="7">
        <f t="shared" si="19"/>
        <v>75.128399999999999</v>
      </c>
      <c r="J112" s="15">
        <f t="shared" si="22"/>
        <v>164.61160000000001</v>
      </c>
    </row>
    <row r="113" spans="1:10" x14ac:dyDescent="0.3">
      <c r="A113" s="13">
        <v>45800</v>
      </c>
      <c r="B113" s="1">
        <v>212</v>
      </c>
      <c r="C113" s="3">
        <f t="shared" si="20"/>
        <v>21.2</v>
      </c>
      <c r="D113" s="4">
        <v>3.79</v>
      </c>
      <c r="E113" s="5">
        <f t="shared" si="21"/>
        <v>80.347999999999999</v>
      </c>
      <c r="F113" s="6">
        <f t="shared" si="18"/>
        <v>27.560000000000002</v>
      </c>
      <c r="G113" s="4">
        <v>167.86</v>
      </c>
      <c r="H113" s="4">
        <v>148.87</v>
      </c>
      <c r="I113" s="7">
        <f t="shared" si="19"/>
        <v>107.908</v>
      </c>
      <c r="J113" s="15">
        <f t="shared" si="22"/>
        <v>208.822</v>
      </c>
    </row>
    <row r="114" spans="1:10" x14ac:dyDescent="0.3">
      <c r="A114" s="13">
        <v>45801</v>
      </c>
      <c r="B114" s="1"/>
      <c r="C114" s="3"/>
      <c r="D114" s="4">
        <v>0</v>
      </c>
      <c r="E114" s="5">
        <f t="shared" si="21"/>
        <v>0</v>
      </c>
      <c r="F114" s="6">
        <f t="shared" si="18"/>
        <v>0</v>
      </c>
      <c r="G114" s="4">
        <v>0</v>
      </c>
      <c r="H114" s="4">
        <v>0</v>
      </c>
      <c r="I114" s="7">
        <f t="shared" si="19"/>
        <v>0</v>
      </c>
      <c r="J114" s="15">
        <f t="shared" si="22"/>
        <v>0</v>
      </c>
    </row>
    <row r="115" spans="1:10" x14ac:dyDescent="0.3">
      <c r="A115" s="13">
        <v>45802</v>
      </c>
      <c r="B115" s="1"/>
      <c r="C115" s="3"/>
      <c r="D115" s="4">
        <v>0</v>
      </c>
      <c r="E115" s="5">
        <f t="shared" si="21"/>
        <v>0</v>
      </c>
      <c r="F115" s="6">
        <f t="shared" si="18"/>
        <v>0</v>
      </c>
      <c r="G115" s="4">
        <v>0</v>
      </c>
      <c r="H115" s="4">
        <v>0</v>
      </c>
      <c r="I115" s="7">
        <f t="shared" si="19"/>
        <v>0</v>
      </c>
      <c r="J115" s="15">
        <f t="shared" si="22"/>
        <v>0</v>
      </c>
    </row>
    <row r="116" spans="1:10" x14ac:dyDescent="0.3">
      <c r="A116" s="13">
        <v>45803</v>
      </c>
      <c r="B116" s="1">
        <v>199.5</v>
      </c>
      <c r="C116" s="3">
        <f t="shared" si="20"/>
        <v>19.95</v>
      </c>
      <c r="D116" s="4">
        <v>3.79</v>
      </c>
      <c r="E116" s="5">
        <f t="shared" si="21"/>
        <v>75.610500000000002</v>
      </c>
      <c r="F116" s="6">
        <f t="shared" si="18"/>
        <v>25.935000000000002</v>
      </c>
      <c r="G116" s="4">
        <v>189.9</v>
      </c>
      <c r="H116" s="4">
        <v>99.1</v>
      </c>
      <c r="I116" s="7">
        <f t="shared" si="19"/>
        <v>101.5455</v>
      </c>
      <c r="J116" s="15">
        <f t="shared" si="22"/>
        <v>187.4545</v>
      </c>
    </row>
    <row r="117" spans="1:10" x14ac:dyDescent="0.3">
      <c r="A117" s="13">
        <v>45804</v>
      </c>
      <c r="B117" s="1"/>
      <c r="C117" s="3"/>
      <c r="D117" s="4">
        <v>0</v>
      </c>
      <c r="E117" s="5">
        <f t="shared" si="21"/>
        <v>0</v>
      </c>
      <c r="F117" s="6">
        <f t="shared" si="18"/>
        <v>0</v>
      </c>
      <c r="G117" s="4">
        <v>0</v>
      </c>
      <c r="H117" s="4">
        <v>0</v>
      </c>
      <c r="I117" s="7">
        <f t="shared" si="19"/>
        <v>0</v>
      </c>
      <c r="J117" s="15">
        <f t="shared" si="22"/>
        <v>0</v>
      </c>
    </row>
    <row r="118" spans="1:10" x14ac:dyDescent="0.3">
      <c r="A118" s="13">
        <v>45805</v>
      </c>
      <c r="B118" s="1">
        <v>141.4</v>
      </c>
      <c r="C118" s="3">
        <f t="shared" si="20"/>
        <v>14.14</v>
      </c>
      <c r="D118" s="4">
        <v>3.79</v>
      </c>
      <c r="E118" s="5">
        <f t="shared" si="21"/>
        <v>53.590600000000002</v>
      </c>
      <c r="F118" s="6">
        <f t="shared" si="18"/>
        <v>18.382000000000001</v>
      </c>
      <c r="G118" s="4">
        <v>61.64</v>
      </c>
      <c r="H118" s="4">
        <v>181.19</v>
      </c>
      <c r="I118" s="7">
        <f t="shared" si="19"/>
        <v>71.9726</v>
      </c>
      <c r="J118" s="15">
        <f t="shared" si="22"/>
        <v>170.85739999999998</v>
      </c>
    </row>
    <row r="119" spans="1:10" x14ac:dyDescent="0.3">
      <c r="A119" s="13">
        <v>45806</v>
      </c>
      <c r="B119" s="1">
        <v>148.6</v>
      </c>
      <c r="C119" s="3">
        <f t="shared" si="20"/>
        <v>14.86</v>
      </c>
      <c r="D119" s="4">
        <v>3.79</v>
      </c>
      <c r="E119" s="5">
        <f t="shared" si="21"/>
        <v>56.319400000000002</v>
      </c>
      <c r="F119" s="6">
        <f t="shared" si="18"/>
        <v>19.318000000000001</v>
      </c>
      <c r="G119" s="4">
        <v>64.599999999999994</v>
      </c>
      <c r="H119" s="4">
        <v>202.04</v>
      </c>
      <c r="I119" s="7">
        <f t="shared" si="19"/>
        <v>75.6374</v>
      </c>
      <c r="J119" s="15">
        <f t="shared" si="22"/>
        <v>191.00259999999997</v>
      </c>
    </row>
    <row r="120" spans="1:10" x14ac:dyDescent="0.3">
      <c r="A120" s="13">
        <v>45807</v>
      </c>
      <c r="B120" s="1">
        <v>134.80000000000001</v>
      </c>
      <c r="C120" s="3">
        <f t="shared" si="20"/>
        <v>13.48</v>
      </c>
      <c r="D120" s="4">
        <v>3.79</v>
      </c>
      <c r="E120" s="5">
        <f t="shared" si="21"/>
        <v>51.089200000000005</v>
      </c>
      <c r="F120" s="6">
        <f t="shared" si="18"/>
        <v>17.524000000000001</v>
      </c>
      <c r="G120" s="4">
        <v>94.38</v>
      </c>
      <c r="H120" s="4">
        <v>148.94999999999999</v>
      </c>
      <c r="I120" s="7">
        <f t="shared" si="19"/>
        <v>68.613200000000006</v>
      </c>
      <c r="J120" s="15">
        <f t="shared" si="22"/>
        <v>174.71679999999998</v>
      </c>
    </row>
    <row r="121" spans="1:10" x14ac:dyDescent="0.3">
      <c r="A121" s="13">
        <v>45808</v>
      </c>
      <c r="B121" s="25"/>
      <c r="C121" s="3"/>
      <c r="D121" s="26">
        <v>0</v>
      </c>
      <c r="E121" s="27">
        <f t="shared" si="21"/>
        <v>0</v>
      </c>
      <c r="F121" s="28">
        <f t="shared" si="18"/>
        <v>0</v>
      </c>
      <c r="G121" s="26">
        <v>0</v>
      </c>
      <c r="H121" s="26">
        <v>0</v>
      </c>
      <c r="I121" s="29">
        <f t="shared" si="19"/>
        <v>0</v>
      </c>
      <c r="J121" s="15">
        <f t="shared" si="22"/>
        <v>0</v>
      </c>
    </row>
    <row r="122" spans="1:10" x14ac:dyDescent="0.3">
      <c r="A122" s="13">
        <v>45809</v>
      </c>
      <c r="B122" s="30"/>
      <c r="C122" s="31"/>
      <c r="D122" s="32">
        <v>0</v>
      </c>
      <c r="E122" s="33">
        <f t="shared" si="21"/>
        <v>0</v>
      </c>
      <c r="F122" s="34">
        <f>B122*0.13</f>
        <v>0</v>
      </c>
      <c r="G122" s="32">
        <v>0</v>
      </c>
      <c r="H122" s="32">
        <v>0</v>
      </c>
      <c r="I122" s="35">
        <f>E122+F122</f>
        <v>0</v>
      </c>
      <c r="J122" s="15">
        <f t="shared" si="22"/>
        <v>0</v>
      </c>
    </row>
    <row r="123" spans="1:10" x14ac:dyDescent="0.3">
      <c r="A123" s="13">
        <v>45810</v>
      </c>
      <c r="B123" s="30">
        <v>148.19999999999999</v>
      </c>
      <c r="C123" s="31">
        <f>B123/10</f>
        <v>14.819999999999999</v>
      </c>
      <c r="D123" s="32">
        <v>3.79</v>
      </c>
      <c r="E123" s="33">
        <f t="shared" si="21"/>
        <v>56.167799999999993</v>
      </c>
      <c r="F123" s="34">
        <f t="shared" ref="F123:F151" si="23">B123*0.13</f>
        <v>19.265999999999998</v>
      </c>
      <c r="G123" s="32">
        <v>15.77</v>
      </c>
      <c r="H123" s="32">
        <v>251.13</v>
      </c>
      <c r="I123" s="35">
        <f t="shared" ref="I123:I151" si="24">E123+F123</f>
        <v>75.433799999999991</v>
      </c>
      <c r="J123" s="15">
        <f t="shared" si="22"/>
        <v>191.46619999999999</v>
      </c>
    </row>
    <row r="124" spans="1:10" x14ac:dyDescent="0.3">
      <c r="A124" s="13">
        <v>45811</v>
      </c>
      <c r="B124" s="30">
        <v>150</v>
      </c>
      <c r="C124" s="31">
        <f>B124/9.6</f>
        <v>15.625</v>
      </c>
      <c r="D124" s="32">
        <v>3.79</v>
      </c>
      <c r="E124" s="33">
        <f t="shared" si="21"/>
        <v>59.21875</v>
      </c>
      <c r="F124" s="34">
        <f t="shared" si="23"/>
        <v>19.5</v>
      </c>
      <c r="G124" s="32">
        <v>212.2</v>
      </c>
      <c r="H124" s="32">
        <v>117.72</v>
      </c>
      <c r="I124" s="35">
        <f t="shared" si="24"/>
        <v>78.71875</v>
      </c>
      <c r="J124" s="15">
        <f t="shared" si="22"/>
        <v>251.20124999999996</v>
      </c>
    </row>
    <row r="125" spans="1:10" x14ac:dyDescent="0.3">
      <c r="A125" s="13">
        <v>45812</v>
      </c>
      <c r="B125" s="30">
        <v>152.69999999999999</v>
      </c>
      <c r="C125" s="31">
        <f t="shared" ref="C125:C151" si="25">B125/10</f>
        <v>15.27</v>
      </c>
      <c r="D125" s="32">
        <v>3.49</v>
      </c>
      <c r="E125" s="33">
        <f t="shared" si="21"/>
        <v>53.292300000000004</v>
      </c>
      <c r="F125" s="34">
        <f t="shared" si="23"/>
        <v>19.850999999999999</v>
      </c>
      <c r="G125" s="32">
        <v>106.55</v>
      </c>
      <c r="H125" s="32">
        <v>145.61000000000001</v>
      </c>
      <c r="I125" s="35">
        <f t="shared" si="24"/>
        <v>73.143300000000011</v>
      </c>
      <c r="J125" s="15">
        <f t="shared" si="22"/>
        <v>179.01670000000001</v>
      </c>
    </row>
    <row r="126" spans="1:10" x14ac:dyDescent="0.3">
      <c r="A126" s="13">
        <v>45813</v>
      </c>
      <c r="B126" s="30">
        <v>139</v>
      </c>
      <c r="C126" s="31">
        <f t="shared" si="25"/>
        <v>13.9</v>
      </c>
      <c r="D126" s="32">
        <v>3.79</v>
      </c>
      <c r="E126" s="33">
        <f t="shared" si="21"/>
        <v>52.681000000000004</v>
      </c>
      <c r="F126" s="34">
        <f t="shared" si="23"/>
        <v>18.07</v>
      </c>
      <c r="G126" s="32">
        <v>57.22</v>
      </c>
      <c r="H126" s="32">
        <v>215.1</v>
      </c>
      <c r="I126" s="35">
        <f t="shared" si="24"/>
        <v>70.751000000000005</v>
      </c>
      <c r="J126" s="15">
        <f t="shared" si="22"/>
        <v>201.56899999999999</v>
      </c>
    </row>
    <row r="127" spans="1:10" x14ac:dyDescent="0.3">
      <c r="A127" s="13">
        <v>45814</v>
      </c>
      <c r="B127" s="30"/>
      <c r="C127" s="31"/>
      <c r="D127" s="32">
        <v>0</v>
      </c>
      <c r="E127" s="33">
        <f t="shared" si="21"/>
        <v>0</v>
      </c>
      <c r="F127" s="34">
        <f t="shared" si="23"/>
        <v>0</v>
      </c>
      <c r="G127" s="32">
        <v>0</v>
      </c>
      <c r="H127" s="32">
        <v>0</v>
      </c>
      <c r="I127" s="35">
        <f t="shared" si="24"/>
        <v>0</v>
      </c>
      <c r="J127" s="15">
        <f t="shared" si="22"/>
        <v>0</v>
      </c>
    </row>
    <row r="128" spans="1:10" x14ac:dyDescent="0.3">
      <c r="A128" s="13">
        <v>45815</v>
      </c>
      <c r="B128" s="30"/>
      <c r="C128" s="31"/>
      <c r="D128" s="32">
        <v>0</v>
      </c>
      <c r="E128" s="33">
        <f t="shared" si="21"/>
        <v>0</v>
      </c>
      <c r="F128" s="34">
        <f t="shared" si="23"/>
        <v>0</v>
      </c>
      <c r="G128" s="32">
        <v>0</v>
      </c>
      <c r="H128" s="32">
        <v>0</v>
      </c>
      <c r="I128" s="35">
        <f t="shared" si="24"/>
        <v>0</v>
      </c>
      <c r="J128" s="15">
        <f t="shared" si="22"/>
        <v>0</v>
      </c>
    </row>
    <row r="129" spans="1:10" x14ac:dyDescent="0.3">
      <c r="A129" s="13">
        <v>45816</v>
      </c>
      <c r="B129" s="30"/>
      <c r="C129" s="31"/>
      <c r="D129" s="32">
        <v>0</v>
      </c>
      <c r="E129" s="33">
        <f t="shared" si="21"/>
        <v>0</v>
      </c>
      <c r="F129" s="34">
        <f t="shared" si="23"/>
        <v>0</v>
      </c>
      <c r="G129" s="32">
        <v>0</v>
      </c>
      <c r="H129" s="32">
        <v>0</v>
      </c>
      <c r="I129" s="35">
        <f t="shared" si="24"/>
        <v>0</v>
      </c>
      <c r="J129" s="15">
        <f t="shared" si="22"/>
        <v>0</v>
      </c>
    </row>
    <row r="130" spans="1:10" x14ac:dyDescent="0.3">
      <c r="A130" s="13">
        <v>45817</v>
      </c>
      <c r="B130" s="30">
        <v>148.19999999999999</v>
      </c>
      <c r="C130" s="31">
        <f t="shared" si="25"/>
        <v>14.819999999999999</v>
      </c>
      <c r="D130" s="32">
        <v>3.79</v>
      </c>
      <c r="E130" s="33">
        <f t="shared" si="21"/>
        <v>56.167799999999993</v>
      </c>
      <c r="F130" s="34">
        <f t="shared" si="23"/>
        <v>19.265999999999998</v>
      </c>
      <c r="G130" s="32">
        <v>33.81</v>
      </c>
      <c r="H130" s="32">
        <v>233.71</v>
      </c>
      <c r="I130" s="35">
        <f t="shared" si="24"/>
        <v>75.433799999999991</v>
      </c>
      <c r="J130" s="15">
        <f t="shared" si="22"/>
        <v>192.08619999999999</v>
      </c>
    </row>
    <row r="131" spans="1:10" x14ac:dyDescent="0.3">
      <c r="A131" s="13">
        <v>45818</v>
      </c>
      <c r="B131" s="30">
        <v>140.19999999999999</v>
      </c>
      <c r="C131" s="31">
        <f t="shared" si="25"/>
        <v>14.02</v>
      </c>
      <c r="D131" s="32">
        <v>3.79</v>
      </c>
      <c r="E131" s="33">
        <f t="shared" si="21"/>
        <v>53.135799999999996</v>
      </c>
      <c r="F131" s="34">
        <f t="shared" si="23"/>
        <v>18.225999999999999</v>
      </c>
      <c r="G131" s="32">
        <v>45.42</v>
      </c>
      <c r="H131" s="32">
        <v>193.91</v>
      </c>
      <c r="I131" s="35">
        <f t="shared" si="24"/>
        <v>71.361799999999988</v>
      </c>
      <c r="J131" s="15">
        <f t="shared" si="22"/>
        <v>167.9682</v>
      </c>
    </row>
    <row r="132" spans="1:10" x14ac:dyDescent="0.3">
      <c r="A132" s="13">
        <v>45819</v>
      </c>
      <c r="B132" s="30">
        <v>125.8</v>
      </c>
      <c r="C132" s="31">
        <f t="shared" si="25"/>
        <v>12.58</v>
      </c>
      <c r="D132" s="32">
        <v>3.49</v>
      </c>
      <c r="E132" s="33">
        <f t="shared" si="21"/>
        <v>43.904200000000003</v>
      </c>
      <c r="F132" s="34">
        <f t="shared" si="23"/>
        <v>16.353999999999999</v>
      </c>
      <c r="G132" s="32">
        <v>49.11</v>
      </c>
      <c r="H132" s="32">
        <v>180.14</v>
      </c>
      <c r="I132" s="35">
        <f t="shared" si="24"/>
        <v>60.258200000000002</v>
      </c>
      <c r="J132" s="15">
        <f t="shared" si="22"/>
        <v>168.99180000000001</v>
      </c>
    </row>
    <row r="133" spans="1:10" x14ac:dyDescent="0.3">
      <c r="A133" s="13">
        <v>45820</v>
      </c>
      <c r="B133" s="30">
        <v>127.6</v>
      </c>
      <c r="C133" s="31">
        <f t="shared" si="25"/>
        <v>12.76</v>
      </c>
      <c r="D133" s="32">
        <v>3.79</v>
      </c>
      <c r="E133" s="33">
        <f t="shared" si="21"/>
        <v>48.360399999999998</v>
      </c>
      <c r="F133" s="34">
        <f t="shared" si="23"/>
        <v>16.588000000000001</v>
      </c>
      <c r="G133" s="32">
        <v>57.12</v>
      </c>
      <c r="H133" s="32">
        <v>217.5</v>
      </c>
      <c r="I133" s="35">
        <f t="shared" si="24"/>
        <v>64.948399999999992</v>
      </c>
      <c r="J133" s="15">
        <f t="shared" si="22"/>
        <v>209.67160000000001</v>
      </c>
    </row>
    <row r="134" spans="1:10" x14ac:dyDescent="0.3">
      <c r="A134" s="13">
        <v>45821</v>
      </c>
      <c r="B134" s="30">
        <v>132.19999999999999</v>
      </c>
      <c r="C134" s="31">
        <f t="shared" si="25"/>
        <v>13.219999999999999</v>
      </c>
      <c r="D134" s="32">
        <v>3.79</v>
      </c>
      <c r="E134" s="33">
        <f t="shared" si="21"/>
        <v>50.1038</v>
      </c>
      <c r="F134" s="34">
        <f t="shared" si="23"/>
        <v>17.186</v>
      </c>
      <c r="G134" s="32">
        <v>10.44</v>
      </c>
      <c r="H134" s="32">
        <v>252.92</v>
      </c>
      <c r="I134" s="35">
        <f t="shared" si="24"/>
        <v>67.2898</v>
      </c>
      <c r="J134" s="15">
        <f t="shared" si="22"/>
        <v>196.0702</v>
      </c>
    </row>
    <row r="135" spans="1:10" x14ac:dyDescent="0.3">
      <c r="A135" s="13">
        <v>45822</v>
      </c>
      <c r="B135" s="30"/>
      <c r="C135" s="31"/>
      <c r="D135" s="32">
        <v>0</v>
      </c>
      <c r="E135" s="33">
        <f t="shared" si="21"/>
        <v>0</v>
      </c>
      <c r="F135" s="34">
        <f t="shared" si="23"/>
        <v>0</v>
      </c>
      <c r="G135" s="32">
        <v>0</v>
      </c>
      <c r="H135" s="32">
        <v>0</v>
      </c>
      <c r="I135" s="35">
        <f t="shared" si="24"/>
        <v>0</v>
      </c>
      <c r="J135" s="15">
        <f t="shared" si="22"/>
        <v>0</v>
      </c>
    </row>
    <row r="136" spans="1:10" x14ac:dyDescent="0.3">
      <c r="A136" s="13">
        <v>45823</v>
      </c>
      <c r="B136" s="30"/>
      <c r="C136" s="31"/>
      <c r="D136" s="32">
        <v>0</v>
      </c>
      <c r="E136" s="33">
        <f t="shared" si="21"/>
        <v>0</v>
      </c>
      <c r="F136" s="34">
        <f t="shared" si="23"/>
        <v>0</v>
      </c>
      <c r="G136" s="32">
        <v>0</v>
      </c>
      <c r="H136" s="32">
        <v>0</v>
      </c>
      <c r="I136" s="35">
        <f t="shared" si="24"/>
        <v>0</v>
      </c>
      <c r="J136" s="15">
        <f t="shared" si="22"/>
        <v>0</v>
      </c>
    </row>
    <row r="137" spans="1:10" x14ac:dyDescent="0.3">
      <c r="A137" s="13">
        <v>45824</v>
      </c>
      <c r="B137" s="30">
        <v>237.6</v>
      </c>
      <c r="C137" s="31">
        <f>B137/11</f>
        <v>21.599999999999998</v>
      </c>
      <c r="D137" s="32">
        <v>3.49</v>
      </c>
      <c r="E137" s="33">
        <f t="shared" si="21"/>
        <v>75.384</v>
      </c>
      <c r="F137" s="34">
        <f t="shared" si="23"/>
        <v>30.888000000000002</v>
      </c>
      <c r="G137" s="32">
        <v>125.1</v>
      </c>
      <c r="H137" s="32">
        <v>224.66</v>
      </c>
      <c r="I137" s="35">
        <f t="shared" si="24"/>
        <v>106.27200000000001</v>
      </c>
      <c r="J137" s="15">
        <f t="shared" si="22"/>
        <v>243.488</v>
      </c>
    </row>
    <row r="138" spans="1:10" x14ac:dyDescent="0.3">
      <c r="A138" s="13">
        <v>45825</v>
      </c>
      <c r="B138" s="30">
        <v>128.4</v>
      </c>
      <c r="C138" s="31">
        <f>B138/9.6</f>
        <v>13.375000000000002</v>
      </c>
      <c r="D138" s="32">
        <v>3.79</v>
      </c>
      <c r="E138" s="33">
        <f t="shared" si="21"/>
        <v>50.691250000000004</v>
      </c>
      <c r="F138" s="34">
        <f t="shared" si="23"/>
        <v>16.692</v>
      </c>
      <c r="G138" s="32">
        <v>83.78</v>
      </c>
      <c r="H138" s="32">
        <v>145.46</v>
      </c>
      <c r="I138" s="35">
        <f t="shared" si="24"/>
        <v>67.383250000000004</v>
      </c>
      <c r="J138" s="15">
        <f t="shared" si="22"/>
        <v>161.85675000000001</v>
      </c>
    </row>
    <row r="139" spans="1:10" x14ac:dyDescent="0.3">
      <c r="A139" s="13">
        <v>45826</v>
      </c>
      <c r="B139" s="30"/>
      <c r="C139" s="31">
        <f t="shared" si="25"/>
        <v>0</v>
      </c>
      <c r="D139" s="32">
        <v>0</v>
      </c>
      <c r="E139" s="33">
        <f t="shared" si="21"/>
        <v>0</v>
      </c>
      <c r="F139" s="34">
        <f t="shared" si="23"/>
        <v>0</v>
      </c>
      <c r="G139" s="32">
        <v>0</v>
      </c>
      <c r="H139" s="32">
        <v>0</v>
      </c>
      <c r="I139" s="35">
        <f t="shared" si="24"/>
        <v>0</v>
      </c>
      <c r="J139" s="15">
        <f t="shared" si="22"/>
        <v>0</v>
      </c>
    </row>
    <row r="140" spans="1:10" x14ac:dyDescent="0.3">
      <c r="A140" s="13">
        <v>45827</v>
      </c>
      <c r="B140" s="30">
        <v>117.5</v>
      </c>
      <c r="C140" s="31">
        <f t="shared" si="25"/>
        <v>11.75</v>
      </c>
      <c r="D140" s="32">
        <v>3.49</v>
      </c>
      <c r="E140" s="33">
        <f t="shared" si="21"/>
        <v>41.0075</v>
      </c>
      <c r="F140" s="34">
        <f t="shared" si="23"/>
        <v>15.275</v>
      </c>
      <c r="G140" s="32">
        <v>61.14</v>
      </c>
      <c r="H140" s="32">
        <v>106.1</v>
      </c>
      <c r="I140" s="35">
        <f t="shared" si="24"/>
        <v>56.282499999999999</v>
      </c>
      <c r="J140" s="15">
        <f t="shared" si="22"/>
        <v>110.95750000000001</v>
      </c>
    </row>
    <row r="141" spans="1:10" x14ac:dyDescent="0.3">
      <c r="A141" s="13">
        <v>45828</v>
      </c>
      <c r="B141" s="30">
        <v>131</v>
      </c>
      <c r="C141" s="31">
        <f t="shared" si="25"/>
        <v>13.1</v>
      </c>
      <c r="D141" s="32">
        <v>3.49</v>
      </c>
      <c r="E141" s="33">
        <f t="shared" si="21"/>
        <v>45.719000000000001</v>
      </c>
      <c r="F141" s="34">
        <f t="shared" si="23"/>
        <v>17.03</v>
      </c>
      <c r="G141" s="32">
        <v>54.5</v>
      </c>
      <c r="H141" s="32">
        <v>152.56</v>
      </c>
      <c r="I141" s="35">
        <f t="shared" si="24"/>
        <v>62.749000000000002</v>
      </c>
      <c r="J141" s="15">
        <f t="shared" si="22"/>
        <v>144.31100000000001</v>
      </c>
    </row>
    <row r="142" spans="1:10" x14ac:dyDescent="0.3">
      <c r="A142" s="13">
        <v>45829</v>
      </c>
      <c r="B142" s="30"/>
      <c r="C142" s="31"/>
      <c r="D142" s="32">
        <v>0</v>
      </c>
      <c r="E142" s="33">
        <f t="shared" si="21"/>
        <v>0</v>
      </c>
      <c r="F142" s="34">
        <f t="shared" si="23"/>
        <v>0</v>
      </c>
      <c r="G142" s="32">
        <v>0</v>
      </c>
      <c r="H142" s="32">
        <v>0</v>
      </c>
      <c r="I142" s="35">
        <f t="shared" si="24"/>
        <v>0</v>
      </c>
      <c r="J142" s="15">
        <f t="shared" si="22"/>
        <v>0</v>
      </c>
    </row>
    <row r="143" spans="1:10" x14ac:dyDescent="0.3">
      <c r="A143" s="13">
        <v>45830</v>
      </c>
      <c r="B143" s="30"/>
      <c r="C143" s="31"/>
      <c r="D143" s="32">
        <v>0</v>
      </c>
      <c r="E143" s="33">
        <f t="shared" si="21"/>
        <v>0</v>
      </c>
      <c r="F143" s="34">
        <f t="shared" si="23"/>
        <v>0</v>
      </c>
      <c r="G143" s="32">
        <v>0</v>
      </c>
      <c r="H143" s="32">
        <v>0</v>
      </c>
      <c r="I143" s="35">
        <f t="shared" si="24"/>
        <v>0</v>
      </c>
      <c r="J143" s="15">
        <f t="shared" si="22"/>
        <v>0</v>
      </c>
    </row>
    <row r="144" spans="1:10" x14ac:dyDescent="0.3">
      <c r="A144" s="13">
        <v>45831</v>
      </c>
      <c r="B144" s="30">
        <v>187.5</v>
      </c>
      <c r="C144" s="31">
        <f t="shared" si="25"/>
        <v>18.75</v>
      </c>
      <c r="D144" s="32">
        <v>3.49</v>
      </c>
      <c r="E144" s="33">
        <f t="shared" si="21"/>
        <v>65.4375</v>
      </c>
      <c r="F144" s="34">
        <f t="shared" si="23"/>
        <v>24.375</v>
      </c>
      <c r="G144" s="32">
        <v>66</v>
      </c>
      <c r="H144" s="32">
        <v>234.59</v>
      </c>
      <c r="I144" s="35">
        <f t="shared" si="24"/>
        <v>89.8125</v>
      </c>
      <c r="J144" s="15">
        <f t="shared" si="22"/>
        <v>210.77750000000003</v>
      </c>
    </row>
    <row r="145" spans="1:10" x14ac:dyDescent="0.3">
      <c r="A145" s="13">
        <v>45832</v>
      </c>
      <c r="B145" s="30">
        <v>156</v>
      </c>
      <c r="C145" s="31">
        <f t="shared" si="25"/>
        <v>15.6</v>
      </c>
      <c r="D145" s="32">
        <v>3.79</v>
      </c>
      <c r="E145" s="33">
        <f t="shared" si="21"/>
        <v>59.124000000000002</v>
      </c>
      <c r="F145" s="34">
        <f t="shared" si="23"/>
        <v>20.28</v>
      </c>
      <c r="G145" s="32">
        <v>50.69</v>
      </c>
      <c r="H145" s="32">
        <v>230.81</v>
      </c>
      <c r="I145" s="35">
        <f t="shared" si="24"/>
        <v>79.403999999999996</v>
      </c>
      <c r="J145" s="15">
        <f t="shared" si="22"/>
        <v>202.096</v>
      </c>
    </row>
    <row r="146" spans="1:10" x14ac:dyDescent="0.3">
      <c r="A146" s="13">
        <v>45833</v>
      </c>
      <c r="B146" s="30">
        <v>179.8</v>
      </c>
      <c r="C146" s="31">
        <f t="shared" si="25"/>
        <v>17.98</v>
      </c>
      <c r="D146" s="32">
        <v>3.49</v>
      </c>
      <c r="E146" s="33">
        <f t="shared" si="21"/>
        <v>62.750200000000007</v>
      </c>
      <c r="F146" s="34">
        <f t="shared" si="23"/>
        <v>23.374000000000002</v>
      </c>
      <c r="G146" s="32">
        <v>58</v>
      </c>
      <c r="H146" s="32">
        <v>296.24</v>
      </c>
      <c r="I146" s="35">
        <f t="shared" si="24"/>
        <v>86.124200000000002</v>
      </c>
      <c r="J146" s="15">
        <f t="shared" si="22"/>
        <v>268.11580000000004</v>
      </c>
    </row>
    <row r="147" spans="1:10" x14ac:dyDescent="0.3">
      <c r="A147" s="13">
        <v>45834</v>
      </c>
      <c r="B147" s="30">
        <v>195.4</v>
      </c>
      <c r="C147" s="31">
        <f t="shared" si="25"/>
        <v>19.54</v>
      </c>
      <c r="D147" s="32">
        <v>3.79</v>
      </c>
      <c r="E147" s="33">
        <f t="shared" si="21"/>
        <v>74.056600000000003</v>
      </c>
      <c r="F147" s="34">
        <f t="shared" si="23"/>
        <v>25.402000000000001</v>
      </c>
      <c r="G147" s="32">
        <v>94.43</v>
      </c>
      <c r="H147" s="32">
        <v>211.18</v>
      </c>
      <c r="I147" s="35">
        <f t="shared" si="24"/>
        <v>99.458600000000004</v>
      </c>
      <c r="J147" s="15">
        <f t="shared" si="22"/>
        <v>206.15140000000002</v>
      </c>
    </row>
    <row r="148" spans="1:10" x14ac:dyDescent="0.3">
      <c r="A148" s="13">
        <v>45835</v>
      </c>
      <c r="B148" s="30">
        <v>157.5</v>
      </c>
      <c r="C148" s="31">
        <f t="shared" si="25"/>
        <v>15.75</v>
      </c>
      <c r="D148" s="32">
        <v>3.49</v>
      </c>
      <c r="E148" s="33">
        <f t="shared" si="21"/>
        <v>54.967500000000001</v>
      </c>
      <c r="F148" s="34">
        <f t="shared" si="23"/>
        <v>20.475000000000001</v>
      </c>
      <c r="G148" s="32">
        <v>41.09</v>
      </c>
      <c r="H148" s="32">
        <v>191.83</v>
      </c>
      <c r="I148" s="35">
        <f t="shared" si="24"/>
        <v>75.442499999999995</v>
      </c>
      <c r="J148" s="15">
        <f t="shared" si="22"/>
        <v>157.47750000000002</v>
      </c>
    </row>
    <row r="149" spans="1:10" x14ac:dyDescent="0.3">
      <c r="A149" s="13">
        <v>45836</v>
      </c>
      <c r="B149" s="30">
        <v>84.4</v>
      </c>
      <c r="C149" s="31">
        <f t="shared" si="25"/>
        <v>8.4400000000000013</v>
      </c>
      <c r="D149" s="32">
        <v>3.79</v>
      </c>
      <c r="E149" s="33">
        <f t="shared" si="21"/>
        <v>31.987600000000004</v>
      </c>
      <c r="F149" s="34">
        <f t="shared" si="23"/>
        <v>10.972000000000001</v>
      </c>
      <c r="G149" s="32">
        <v>33.049999999999997</v>
      </c>
      <c r="H149" s="32">
        <v>104.78</v>
      </c>
      <c r="I149" s="35">
        <f t="shared" si="24"/>
        <v>42.959600000000009</v>
      </c>
      <c r="J149" s="15">
        <f t="shared" si="22"/>
        <v>94.870399999999975</v>
      </c>
    </row>
    <row r="150" spans="1:10" x14ac:dyDescent="0.3">
      <c r="A150" s="13">
        <v>45837</v>
      </c>
      <c r="B150" s="30"/>
      <c r="C150" s="31"/>
      <c r="D150" s="32">
        <v>0</v>
      </c>
      <c r="E150" s="33">
        <f t="shared" si="21"/>
        <v>0</v>
      </c>
      <c r="F150" s="34">
        <f t="shared" si="23"/>
        <v>0</v>
      </c>
      <c r="G150" s="32">
        <v>0</v>
      </c>
      <c r="H150" s="32">
        <v>0</v>
      </c>
      <c r="I150" s="35">
        <f t="shared" si="24"/>
        <v>0</v>
      </c>
      <c r="J150" s="15">
        <f t="shared" si="22"/>
        <v>0</v>
      </c>
    </row>
    <row r="151" spans="1:10" x14ac:dyDescent="0.3">
      <c r="A151" s="13">
        <v>45838</v>
      </c>
      <c r="B151" s="30">
        <v>145.6</v>
      </c>
      <c r="C151" s="31">
        <f t="shared" si="25"/>
        <v>14.559999999999999</v>
      </c>
      <c r="D151" s="32">
        <v>3.79</v>
      </c>
      <c r="E151" s="33">
        <f t="shared" si="21"/>
        <v>55.182399999999994</v>
      </c>
      <c r="F151" s="34">
        <f t="shared" si="23"/>
        <v>18.928000000000001</v>
      </c>
      <c r="G151" s="32">
        <v>90.78</v>
      </c>
      <c r="H151" s="32">
        <v>156.38</v>
      </c>
      <c r="I151" s="35">
        <f t="shared" si="24"/>
        <v>74.110399999999998</v>
      </c>
      <c r="J151" s="15">
        <f t="shared" si="22"/>
        <v>173.0496</v>
      </c>
    </row>
    <row r="152" spans="1:10" x14ac:dyDescent="0.3">
      <c r="A152" s="13">
        <v>45839</v>
      </c>
      <c r="B152" s="1">
        <v>198.1</v>
      </c>
      <c r="C152" s="3">
        <f>B152/10</f>
        <v>19.809999999999999</v>
      </c>
      <c r="D152" s="4">
        <v>3.79</v>
      </c>
      <c r="E152" s="5">
        <f t="shared" si="21"/>
        <v>75.079899999999995</v>
      </c>
      <c r="F152" s="6">
        <f>B152*0.13</f>
        <v>25.753</v>
      </c>
      <c r="G152" s="4">
        <v>52.09</v>
      </c>
      <c r="H152" s="4">
        <v>272.27</v>
      </c>
      <c r="I152" s="7">
        <f>E152+F152</f>
        <v>100.8329</v>
      </c>
      <c r="J152" s="15">
        <f t="shared" si="22"/>
        <v>223.52710000000002</v>
      </c>
    </row>
    <row r="153" spans="1:10" x14ac:dyDescent="0.3">
      <c r="A153" s="13">
        <v>45840</v>
      </c>
      <c r="B153" s="1">
        <v>201.1</v>
      </c>
      <c r="C153" s="3">
        <f>B153/10</f>
        <v>20.11</v>
      </c>
      <c r="D153" s="4">
        <v>3.79</v>
      </c>
      <c r="E153" s="5">
        <f t="shared" si="21"/>
        <v>76.216899999999995</v>
      </c>
      <c r="F153" s="6">
        <f t="shared" ref="F153:F182" si="26">B153*0.13</f>
        <v>26.143000000000001</v>
      </c>
      <c r="G153" s="4">
        <v>111.75</v>
      </c>
      <c r="H153" s="4">
        <v>179.84</v>
      </c>
      <c r="I153" s="7">
        <f t="shared" ref="I153:I182" si="27">E153+F153</f>
        <v>102.3599</v>
      </c>
      <c r="J153" s="15">
        <f t="shared" si="22"/>
        <v>189.23010000000005</v>
      </c>
    </row>
    <row r="154" spans="1:10" x14ac:dyDescent="0.3">
      <c r="A154" s="13">
        <v>45841</v>
      </c>
      <c r="B154" s="1">
        <v>170</v>
      </c>
      <c r="C154" s="3">
        <f t="shared" ref="C154:C182" si="28">B154/10</f>
        <v>17</v>
      </c>
      <c r="D154" s="4">
        <v>3.79</v>
      </c>
      <c r="E154" s="5">
        <f t="shared" si="21"/>
        <v>64.430000000000007</v>
      </c>
      <c r="F154" s="6">
        <f t="shared" si="26"/>
        <v>22.1</v>
      </c>
      <c r="G154" s="4">
        <v>83.29</v>
      </c>
      <c r="H154" s="4">
        <v>167.64</v>
      </c>
      <c r="I154" s="7">
        <f t="shared" si="27"/>
        <v>86.53</v>
      </c>
      <c r="J154" s="15">
        <f t="shared" si="22"/>
        <v>164.4</v>
      </c>
    </row>
    <row r="155" spans="1:10" x14ac:dyDescent="0.3">
      <c r="A155" s="13">
        <v>45842</v>
      </c>
      <c r="B155" s="1">
        <v>154</v>
      </c>
      <c r="C155" s="3">
        <f t="shared" si="28"/>
        <v>15.4</v>
      </c>
      <c r="D155" s="4">
        <v>3.67</v>
      </c>
      <c r="E155" s="5">
        <f t="shared" si="21"/>
        <v>56.518000000000001</v>
      </c>
      <c r="F155" s="6">
        <f t="shared" si="26"/>
        <v>20.02</v>
      </c>
      <c r="G155" s="4">
        <v>87.19</v>
      </c>
      <c r="H155" s="4">
        <v>173.11</v>
      </c>
      <c r="I155" s="7">
        <f t="shared" si="27"/>
        <v>76.537999999999997</v>
      </c>
      <c r="J155" s="15">
        <f t="shared" si="22"/>
        <v>183.762</v>
      </c>
    </row>
    <row r="156" spans="1:10" x14ac:dyDescent="0.3">
      <c r="A156" s="13">
        <v>45843</v>
      </c>
      <c r="B156" s="1"/>
      <c r="C156" s="3"/>
      <c r="D156" s="4">
        <v>0</v>
      </c>
      <c r="E156" s="5">
        <f t="shared" si="21"/>
        <v>0</v>
      </c>
      <c r="F156" s="6">
        <f t="shared" si="26"/>
        <v>0</v>
      </c>
      <c r="G156" s="4">
        <v>0</v>
      </c>
      <c r="H156" s="4">
        <v>0</v>
      </c>
      <c r="I156" s="7">
        <f t="shared" si="27"/>
        <v>0</v>
      </c>
      <c r="J156" s="15">
        <f t="shared" si="22"/>
        <v>0</v>
      </c>
    </row>
    <row r="157" spans="1:10" x14ac:dyDescent="0.3">
      <c r="A157" s="13">
        <v>45844</v>
      </c>
      <c r="B157" s="1"/>
      <c r="C157" s="3"/>
      <c r="D157" s="4">
        <v>0</v>
      </c>
      <c r="E157" s="5">
        <f t="shared" si="21"/>
        <v>0</v>
      </c>
      <c r="F157" s="6">
        <f t="shared" si="26"/>
        <v>0</v>
      </c>
      <c r="G157" s="4">
        <v>0</v>
      </c>
      <c r="H157" s="4">
        <v>0</v>
      </c>
      <c r="I157" s="7">
        <f t="shared" si="27"/>
        <v>0</v>
      </c>
      <c r="J157" s="15">
        <f t="shared" si="22"/>
        <v>0</v>
      </c>
    </row>
    <row r="158" spans="1:10" x14ac:dyDescent="0.3">
      <c r="A158" s="13">
        <v>45845</v>
      </c>
      <c r="B158" s="1">
        <v>159.1</v>
      </c>
      <c r="C158" s="3">
        <f t="shared" si="28"/>
        <v>15.91</v>
      </c>
      <c r="D158" s="4">
        <v>3.79</v>
      </c>
      <c r="E158" s="5">
        <f t="shared" si="21"/>
        <v>60.298900000000003</v>
      </c>
      <c r="F158" s="6">
        <f t="shared" si="26"/>
        <v>20.683</v>
      </c>
      <c r="G158" s="4">
        <v>13.12</v>
      </c>
      <c r="H158" s="4">
        <v>275.33999999999997</v>
      </c>
      <c r="I158" s="7">
        <f t="shared" si="27"/>
        <v>80.981899999999996</v>
      </c>
      <c r="J158" s="15">
        <f t="shared" si="22"/>
        <v>207.47809999999998</v>
      </c>
    </row>
    <row r="159" spans="1:10" x14ac:dyDescent="0.3">
      <c r="A159" s="13">
        <v>45846</v>
      </c>
      <c r="B159" s="1">
        <v>166.9</v>
      </c>
      <c r="C159" s="3">
        <f t="shared" si="28"/>
        <v>16.690000000000001</v>
      </c>
      <c r="D159" s="4">
        <v>3.79</v>
      </c>
      <c r="E159" s="5">
        <f t="shared" si="21"/>
        <v>63.255100000000006</v>
      </c>
      <c r="F159" s="6">
        <f t="shared" si="26"/>
        <v>21.697000000000003</v>
      </c>
      <c r="G159" s="4">
        <v>132.56</v>
      </c>
      <c r="H159" s="4">
        <v>131.47999999999999</v>
      </c>
      <c r="I159" s="7">
        <f t="shared" si="27"/>
        <v>84.952100000000002</v>
      </c>
      <c r="J159" s="15">
        <f t="shared" si="22"/>
        <v>179.08789999999996</v>
      </c>
    </row>
    <row r="160" spans="1:10" x14ac:dyDescent="0.3">
      <c r="A160" s="13">
        <v>45847</v>
      </c>
      <c r="B160" s="1"/>
      <c r="C160" s="3"/>
      <c r="D160" s="4"/>
      <c r="E160" s="5"/>
      <c r="F160" s="6"/>
      <c r="G160" s="4"/>
      <c r="H160" s="4"/>
      <c r="I160" s="7"/>
      <c r="J160" s="15">
        <f t="shared" si="22"/>
        <v>0</v>
      </c>
    </row>
    <row r="161" spans="1:10" x14ac:dyDescent="0.3">
      <c r="A161" s="13">
        <v>45848</v>
      </c>
      <c r="B161" s="1">
        <v>160.1</v>
      </c>
      <c r="C161" s="3">
        <v>16.009999999999998</v>
      </c>
      <c r="D161" s="4">
        <v>3.79</v>
      </c>
      <c r="E161" s="5">
        <v>60.677899999999994</v>
      </c>
      <c r="F161" s="6">
        <v>20.812999999999999</v>
      </c>
      <c r="G161" s="4">
        <v>101.01</v>
      </c>
      <c r="H161" s="4">
        <v>162.79</v>
      </c>
      <c r="I161" s="7">
        <v>81.490899999999996</v>
      </c>
      <c r="J161" s="15">
        <f t="shared" si="22"/>
        <v>182.3091</v>
      </c>
    </row>
    <row r="162" spans="1:10" x14ac:dyDescent="0.3">
      <c r="A162" s="13">
        <v>45849</v>
      </c>
      <c r="B162" s="1">
        <v>175.6</v>
      </c>
      <c r="C162" s="3">
        <f t="shared" si="28"/>
        <v>17.559999999999999</v>
      </c>
      <c r="D162" s="4">
        <v>3.67</v>
      </c>
      <c r="E162" s="5">
        <f t="shared" ref="E162:E183" si="29">C162*D162</f>
        <v>64.4452</v>
      </c>
      <c r="F162" s="6">
        <f t="shared" si="26"/>
        <v>22.827999999999999</v>
      </c>
      <c r="G162" s="4">
        <v>63.16</v>
      </c>
      <c r="H162" s="4">
        <v>204.02</v>
      </c>
      <c r="I162" s="7">
        <f t="shared" si="27"/>
        <v>87.273200000000003</v>
      </c>
      <c r="J162" s="15">
        <f t="shared" si="22"/>
        <v>179.9068</v>
      </c>
    </row>
    <row r="163" spans="1:10" x14ac:dyDescent="0.3">
      <c r="A163" s="13">
        <v>45850</v>
      </c>
      <c r="B163" s="1"/>
      <c r="C163" s="3"/>
      <c r="D163" s="4">
        <v>0</v>
      </c>
      <c r="E163" s="5">
        <f t="shared" si="29"/>
        <v>0</v>
      </c>
      <c r="F163" s="6">
        <f t="shared" si="26"/>
        <v>0</v>
      </c>
      <c r="G163" s="4">
        <v>0</v>
      </c>
      <c r="H163" s="4">
        <v>0</v>
      </c>
      <c r="I163" s="7">
        <f t="shared" si="27"/>
        <v>0</v>
      </c>
      <c r="J163" s="15">
        <f t="shared" si="22"/>
        <v>0</v>
      </c>
    </row>
    <row r="164" spans="1:10" x14ac:dyDescent="0.3">
      <c r="A164" s="13">
        <v>45851</v>
      </c>
      <c r="B164" s="1"/>
      <c r="C164" s="3"/>
      <c r="D164" s="4">
        <v>0</v>
      </c>
      <c r="E164" s="5">
        <f t="shared" si="29"/>
        <v>0</v>
      </c>
      <c r="F164" s="6">
        <f t="shared" si="26"/>
        <v>0</v>
      </c>
      <c r="G164" s="4">
        <v>0</v>
      </c>
      <c r="H164" s="4">
        <v>0</v>
      </c>
      <c r="I164" s="7">
        <f t="shared" si="27"/>
        <v>0</v>
      </c>
      <c r="J164" s="15">
        <f t="shared" si="22"/>
        <v>0</v>
      </c>
    </row>
    <row r="165" spans="1:10" x14ac:dyDescent="0.3">
      <c r="A165" s="13">
        <v>45852</v>
      </c>
      <c r="B165" s="1">
        <v>178</v>
      </c>
      <c r="C165" s="3">
        <f t="shared" si="28"/>
        <v>17.8</v>
      </c>
      <c r="D165" s="4">
        <v>3.79</v>
      </c>
      <c r="E165" s="5">
        <f t="shared" si="29"/>
        <v>67.462000000000003</v>
      </c>
      <c r="F165" s="6">
        <f t="shared" si="26"/>
        <v>23.14</v>
      </c>
      <c r="G165" s="4">
        <v>63.89</v>
      </c>
      <c r="H165" s="4">
        <v>229.25</v>
      </c>
      <c r="I165" s="7">
        <f t="shared" si="27"/>
        <v>90.602000000000004</v>
      </c>
      <c r="J165" s="15">
        <f t="shared" si="22"/>
        <v>202.53799999999998</v>
      </c>
    </row>
    <row r="166" spans="1:10" x14ac:dyDescent="0.3">
      <c r="A166" s="13">
        <v>45853</v>
      </c>
      <c r="B166" s="1">
        <v>210</v>
      </c>
      <c r="C166" s="3">
        <f t="shared" si="28"/>
        <v>21</v>
      </c>
      <c r="D166" s="4">
        <v>3.79</v>
      </c>
      <c r="E166" s="5">
        <f t="shared" si="29"/>
        <v>79.59</v>
      </c>
      <c r="F166" s="6">
        <f t="shared" si="26"/>
        <v>27.3</v>
      </c>
      <c r="G166" s="4">
        <v>147.88999999999999</v>
      </c>
      <c r="H166" s="4">
        <v>131.5</v>
      </c>
      <c r="I166" s="7">
        <f t="shared" si="27"/>
        <v>106.89</v>
      </c>
      <c r="J166" s="15">
        <f t="shared" si="22"/>
        <v>172.5</v>
      </c>
    </row>
    <row r="167" spans="1:10" x14ac:dyDescent="0.3">
      <c r="A167" s="13">
        <v>45854</v>
      </c>
      <c r="B167" s="1">
        <v>171</v>
      </c>
      <c r="C167" s="3">
        <f t="shared" si="28"/>
        <v>17.100000000000001</v>
      </c>
      <c r="D167" s="4">
        <v>3.61</v>
      </c>
      <c r="E167" s="5">
        <f t="shared" si="29"/>
        <v>61.731000000000002</v>
      </c>
      <c r="F167" s="6">
        <f t="shared" si="26"/>
        <v>22.23</v>
      </c>
      <c r="G167" s="4">
        <v>105.6</v>
      </c>
      <c r="H167" s="4">
        <v>128.86000000000001</v>
      </c>
      <c r="I167" s="7">
        <f t="shared" si="27"/>
        <v>83.960999999999999</v>
      </c>
      <c r="J167" s="15">
        <f t="shared" si="22"/>
        <v>150.49900000000002</v>
      </c>
    </row>
    <row r="168" spans="1:10" x14ac:dyDescent="0.3">
      <c r="A168" s="13">
        <v>45855</v>
      </c>
      <c r="B168" s="1">
        <v>152.1</v>
      </c>
      <c r="C168" s="3">
        <f t="shared" si="28"/>
        <v>15.209999999999999</v>
      </c>
      <c r="D168" s="4">
        <v>3.79</v>
      </c>
      <c r="E168" s="5">
        <f t="shared" si="29"/>
        <v>57.645899999999997</v>
      </c>
      <c r="F168" s="6">
        <f t="shared" si="26"/>
        <v>19.773</v>
      </c>
      <c r="G168" s="4">
        <v>38.83</v>
      </c>
      <c r="H168" s="4">
        <v>183.73</v>
      </c>
      <c r="I168" s="7">
        <f t="shared" si="27"/>
        <v>77.418899999999994</v>
      </c>
      <c r="J168" s="15">
        <f t="shared" si="22"/>
        <v>145.14109999999999</v>
      </c>
    </row>
    <row r="169" spans="1:10" x14ac:dyDescent="0.3">
      <c r="A169" s="13">
        <v>45856</v>
      </c>
      <c r="B169" s="1">
        <v>228.7</v>
      </c>
      <c r="C169" s="3">
        <f t="shared" si="28"/>
        <v>22.869999999999997</v>
      </c>
      <c r="D169" s="4">
        <v>3.61</v>
      </c>
      <c r="E169" s="5">
        <f t="shared" si="29"/>
        <v>82.560699999999983</v>
      </c>
      <c r="F169" s="6">
        <f t="shared" si="26"/>
        <v>29.730999999999998</v>
      </c>
      <c r="G169" s="4">
        <v>221.05</v>
      </c>
      <c r="H169" s="4">
        <v>71.400000000000006</v>
      </c>
      <c r="I169" s="7">
        <f t="shared" si="27"/>
        <v>112.29169999999998</v>
      </c>
      <c r="J169" s="15">
        <f t="shared" si="22"/>
        <v>180.15830000000005</v>
      </c>
    </row>
    <row r="170" spans="1:10" x14ac:dyDescent="0.3">
      <c r="A170" s="13">
        <v>45857</v>
      </c>
      <c r="B170" s="1"/>
      <c r="C170" s="3"/>
      <c r="D170" s="4">
        <v>0</v>
      </c>
      <c r="E170" s="5">
        <f t="shared" si="29"/>
        <v>0</v>
      </c>
      <c r="F170" s="6">
        <f t="shared" si="26"/>
        <v>0</v>
      </c>
      <c r="G170" s="4">
        <v>0</v>
      </c>
      <c r="H170" s="4">
        <v>0</v>
      </c>
      <c r="I170" s="7">
        <f t="shared" si="27"/>
        <v>0</v>
      </c>
      <c r="J170" s="15">
        <f t="shared" si="22"/>
        <v>0</v>
      </c>
    </row>
    <row r="171" spans="1:10" x14ac:dyDescent="0.3">
      <c r="A171" s="13">
        <v>45858</v>
      </c>
      <c r="B171" s="1"/>
      <c r="C171" s="3"/>
      <c r="D171" s="4">
        <v>0</v>
      </c>
      <c r="E171" s="5">
        <f t="shared" si="29"/>
        <v>0</v>
      </c>
      <c r="F171" s="6">
        <f t="shared" si="26"/>
        <v>0</v>
      </c>
      <c r="G171" s="4">
        <v>0</v>
      </c>
      <c r="H171" s="4">
        <v>0</v>
      </c>
      <c r="I171" s="7">
        <f t="shared" si="27"/>
        <v>0</v>
      </c>
      <c r="J171" s="15">
        <f t="shared" si="22"/>
        <v>0</v>
      </c>
    </row>
    <row r="172" spans="1:10" x14ac:dyDescent="0.3">
      <c r="A172" s="13">
        <v>45859</v>
      </c>
      <c r="B172" s="1">
        <v>199.1</v>
      </c>
      <c r="C172" s="3">
        <f t="shared" si="28"/>
        <v>19.91</v>
      </c>
      <c r="D172" s="4">
        <v>3.79</v>
      </c>
      <c r="E172" s="5">
        <f t="shared" si="29"/>
        <v>75.4589</v>
      </c>
      <c r="F172" s="6">
        <f t="shared" si="26"/>
        <v>25.882999999999999</v>
      </c>
      <c r="G172" s="4">
        <v>76.05</v>
      </c>
      <c r="H172" s="4">
        <v>221.04</v>
      </c>
      <c r="I172" s="7">
        <f t="shared" si="27"/>
        <v>101.3419</v>
      </c>
      <c r="J172" s="15">
        <f t="shared" si="22"/>
        <v>195.74809999999997</v>
      </c>
    </row>
    <row r="173" spans="1:10" x14ac:dyDescent="0.3">
      <c r="A173" s="13">
        <v>45860</v>
      </c>
      <c r="B173" s="1">
        <v>171.7</v>
      </c>
      <c r="C173" s="3">
        <f t="shared" si="28"/>
        <v>17.169999999999998</v>
      </c>
      <c r="D173" s="4">
        <v>3.61</v>
      </c>
      <c r="E173" s="5">
        <f t="shared" si="29"/>
        <v>61.983699999999992</v>
      </c>
      <c r="F173" s="6">
        <f t="shared" si="26"/>
        <v>22.320999999999998</v>
      </c>
      <c r="G173" s="4">
        <v>60.01</v>
      </c>
      <c r="H173" s="4">
        <v>197.91</v>
      </c>
      <c r="I173" s="7">
        <f t="shared" si="27"/>
        <v>84.304699999999997</v>
      </c>
      <c r="J173" s="15">
        <f t="shared" ref="J173:J238" si="30">G173+H173-I173</f>
        <v>173.61530000000002</v>
      </c>
    </row>
    <row r="174" spans="1:10" x14ac:dyDescent="0.3">
      <c r="A174" s="13">
        <v>45861</v>
      </c>
      <c r="B174" s="1">
        <v>216.2</v>
      </c>
      <c r="C174" s="3">
        <f t="shared" si="28"/>
        <v>21.619999999999997</v>
      </c>
      <c r="D174" s="4">
        <v>3.61</v>
      </c>
      <c r="E174" s="5">
        <f t="shared" si="29"/>
        <v>78.048199999999994</v>
      </c>
      <c r="F174" s="6">
        <f t="shared" si="26"/>
        <v>28.105999999999998</v>
      </c>
      <c r="G174" s="4">
        <v>95.04</v>
      </c>
      <c r="H174" s="4">
        <v>200.71</v>
      </c>
      <c r="I174" s="7">
        <f t="shared" si="27"/>
        <v>106.15419999999999</v>
      </c>
      <c r="J174" s="15">
        <f t="shared" si="30"/>
        <v>189.5958</v>
      </c>
    </row>
    <row r="175" spans="1:10" x14ac:dyDescent="0.3">
      <c r="A175" s="13">
        <v>45862</v>
      </c>
      <c r="B175" s="1">
        <v>184.3</v>
      </c>
      <c r="C175" s="3">
        <f t="shared" si="28"/>
        <v>18.43</v>
      </c>
      <c r="D175" s="4">
        <v>3.77</v>
      </c>
      <c r="E175" s="5">
        <f t="shared" si="29"/>
        <v>69.481099999999998</v>
      </c>
      <c r="F175" s="6">
        <f t="shared" si="26"/>
        <v>23.959000000000003</v>
      </c>
      <c r="G175" s="4">
        <v>194.45</v>
      </c>
      <c r="H175" s="4">
        <v>70.319999999999993</v>
      </c>
      <c r="I175" s="7">
        <f t="shared" si="27"/>
        <v>93.440100000000001</v>
      </c>
      <c r="J175" s="15">
        <f t="shared" si="30"/>
        <v>171.32989999999998</v>
      </c>
    </row>
    <row r="176" spans="1:10" x14ac:dyDescent="0.3">
      <c r="A176" s="13">
        <v>45863</v>
      </c>
      <c r="B176" s="1">
        <v>157</v>
      </c>
      <c r="C176" s="3">
        <f t="shared" si="28"/>
        <v>15.7</v>
      </c>
      <c r="D176" s="4">
        <v>3.77</v>
      </c>
      <c r="E176" s="5">
        <f t="shared" si="29"/>
        <v>59.189</v>
      </c>
      <c r="F176" s="6">
        <f t="shared" si="26"/>
        <v>20.41</v>
      </c>
      <c r="G176" s="4">
        <v>118.37</v>
      </c>
      <c r="H176" s="4">
        <v>127.34</v>
      </c>
      <c r="I176" s="7">
        <f t="shared" si="27"/>
        <v>79.599000000000004</v>
      </c>
      <c r="J176" s="15">
        <f t="shared" si="30"/>
        <v>166.11099999999999</v>
      </c>
    </row>
    <row r="177" spans="1:10" x14ac:dyDescent="0.3">
      <c r="A177" s="13">
        <v>45864</v>
      </c>
      <c r="B177" s="1"/>
      <c r="C177" s="3"/>
      <c r="D177" s="4">
        <v>0</v>
      </c>
      <c r="E177" s="5">
        <f t="shared" si="29"/>
        <v>0</v>
      </c>
      <c r="F177" s="6">
        <f t="shared" si="26"/>
        <v>0</v>
      </c>
      <c r="G177" s="4">
        <v>0</v>
      </c>
      <c r="H177" s="4">
        <v>0</v>
      </c>
      <c r="I177" s="7">
        <f t="shared" si="27"/>
        <v>0</v>
      </c>
      <c r="J177" s="15">
        <f t="shared" si="30"/>
        <v>0</v>
      </c>
    </row>
    <row r="178" spans="1:10" x14ac:dyDescent="0.3">
      <c r="A178" s="13">
        <v>45865</v>
      </c>
      <c r="B178" s="1"/>
      <c r="C178" s="3"/>
      <c r="D178" s="4">
        <v>0</v>
      </c>
      <c r="E178" s="5">
        <f t="shared" si="29"/>
        <v>0</v>
      </c>
      <c r="F178" s="6">
        <f t="shared" si="26"/>
        <v>0</v>
      </c>
      <c r="G178" s="4">
        <v>0</v>
      </c>
      <c r="H178" s="4">
        <v>0</v>
      </c>
      <c r="I178" s="7">
        <f t="shared" si="27"/>
        <v>0</v>
      </c>
      <c r="J178" s="15">
        <f t="shared" si="30"/>
        <v>0</v>
      </c>
    </row>
    <row r="179" spans="1:10" x14ac:dyDescent="0.3">
      <c r="A179" s="13">
        <v>45866</v>
      </c>
      <c r="B179" s="1">
        <v>189.9</v>
      </c>
      <c r="C179" s="3">
        <f t="shared" si="28"/>
        <v>18.990000000000002</v>
      </c>
      <c r="D179" s="4">
        <v>3.77</v>
      </c>
      <c r="E179" s="5">
        <f t="shared" si="29"/>
        <v>71.592300000000009</v>
      </c>
      <c r="F179" s="6">
        <f t="shared" si="26"/>
        <v>24.687000000000001</v>
      </c>
      <c r="G179" s="4">
        <v>74.45</v>
      </c>
      <c r="H179" s="4">
        <v>219.67</v>
      </c>
      <c r="I179" s="7">
        <f t="shared" si="27"/>
        <v>96.279300000000006</v>
      </c>
      <c r="J179" s="15">
        <f t="shared" si="30"/>
        <v>197.8407</v>
      </c>
    </row>
    <row r="180" spans="1:10" x14ac:dyDescent="0.3">
      <c r="A180" s="13">
        <v>45867</v>
      </c>
      <c r="B180" s="1">
        <v>175.6</v>
      </c>
      <c r="C180" s="3">
        <f t="shared" si="28"/>
        <v>17.559999999999999</v>
      </c>
      <c r="D180" s="4">
        <v>3.77</v>
      </c>
      <c r="E180" s="5">
        <f t="shared" si="29"/>
        <v>66.2012</v>
      </c>
      <c r="F180" s="6">
        <f t="shared" si="26"/>
        <v>22.827999999999999</v>
      </c>
      <c r="G180" s="4">
        <v>100.31</v>
      </c>
      <c r="H180" s="4">
        <v>165.54</v>
      </c>
      <c r="I180" s="7">
        <f t="shared" si="27"/>
        <v>89.029200000000003</v>
      </c>
      <c r="J180" s="15">
        <f t="shared" si="30"/>
        <v>176.82080000000002</v>
      </c>
    </row>
    <row r="181" spans="1:10" x14ac:dyDescent="0.3">
      <c r="A181" s="13">
        <v>45868</v>
      </c>
      <c r="B181" s="1">
        <v>170</v>
      </c>
      <c r="C181" s="3">
        <f t="shared" si="28"/>
        <v>17</v>
      </c>
      <c r="D181" s="4">
        <v>3.57</v>
      </c>
      <c r="E181" s="5">
        <f t="shared" si="29"/>
        <v>60.69</v>
      </c>
      <c r="F181" s="6">
        <f t="shared" si="26"/>
        <v>22.1</v>
      </c>
      <c r="G181" s="4">
        <v>110.98</v>
      </c>
      <c r="H181" s="4">
        <v>170.54</v>
      </c>
      <c r="I181" s="7">
        <f t="shared" si="27"/>
        <v>82.789999999999992</v>
      </c>
      <c r="J181" s="15">
        <f t="shared" si="30"/>
        <v>198.73</v>
      </c>
    </row>
    <row r="182" spans="1:10" x14ac:dyDescent="0.3">
      <c r="A182" s="20">
        <v>45869</v>
      </c>
      <c r="B182" s="25">
        <v>151.80000000000001</v>
      </c>
      <c r="C182" s="36">
        <f t="shared" si="28"/>
        <v>15.180000000000001</v>
      </c>
      <c r="D182" s="26">
        <v>3.89</v>
      </c>
      <c r="E182" s="27">
        <f t="shared" si="29"/>
        <v>59.050200000000011</v>
      </c>
      <c r="F182" s="28">
        <f t="shared" si="26"/>
        <v>19.734000000000002</v>
      </c>
      <c r="G182" s="26">
        <v>109.4</v>
      </c>
      <c r="H182" s="26">
        <v>127.5</v>
      </c>
      <c r="I182" s="29">
        <f t="shared" si="27"/>
        <v>78.784200000000013</v>
      </c>
      <c r="J182" s="37">
        <f t="shared" si="30"/>
        <v>158.11579999999998</v>
      </c>
    </row>
    <row r="183" spans="1:10" x14ac:dyDescent="0.3">
      <c r="A183" s="20">
        <v>45870</v>
      </c>
      <c r="B183" s="38">
        <v>125</v>
      </c>
      <c r="C183" s="39">
        <f t="shared" ref="C183:C189" si="31">B183/10</f>
        <v>12.5</v>
      </c>
      <c r="D183" s="40">
        <v>3.67</v>
      </c>
      <c r="E183" s="41">
        <f t="shared" si="29"/>
        <v>45.875</v>
      </c>
      <c r="F183" s="42">
        <f t="shared" ref="F183:F189" si="32">B183*0.13</f>
        <v>16.25</v>
      </c>
      <c r="G183" s="40">
        <v>9.73</v>
      </c>
      <c r="H183" s="40">
        <v>226.79</v>
      </c>
      <c r="I183" s="37">
        <f t="shared" ref="I183:I189" si="33">E183+F183</f>
        <v>62.125</v>
      </c>
      <c r="J183" s="37">
        <f t="shared" si="30"/>
        <v>174.39499999999998</v>
      </c>
    </row>
    <row r="184" spans="1:10" x14ac:dyDescent="0.3">
      <c r="A184" s="20">
        <v>45871</v>
      </c>
      <c r="B184" s="25"/>
      <c r="C184" s="36"/>
      <c r="D184" s="26"/>
      <c r="E184" s="27">
        <f t="shared" ref="E184:E189" si="34">C184*D184</f>
        <v>0</v>
      </c>
      <c r="F184" s="28">
        <f t="shared" si="32"/>
        <v>0</v>
      </c>
      <c r="G184" s="26"/>
      <c r="H184" s="26"/>
      <c r="I184" s="29">
        <f t="shared" si="33"/>
        <v>0</v>
      </c>
      <c r="J184" s="37">
        <f t="shared" si="30"/>
        <v>0</v>
      </c>
    </row>
    <row r="185" spans="1:10" x14ac:dyDescent="0.3">
      <c r="A185" s="20">
        <v>45872</v>
      </c>
      <c r="B185" s="1"/>
      <c r="C185" s="3"/>
      <c r="D185" s="4"/>
      <c r="E185" s="5">
        <f t="shared" si="34"/>
        <v>0</v>
      </c>
      <c r="F185" s="6">
        <f t="shared" si="32"/>
        <v>0</v>
      </c>
      <c r="G185" s="4"/>
      <c r="H185" s="4"/>
      <c r="I185" s="7">
        <f t="shared" si="33"/>
        <v>0</v>
      </c>
      <c r="J185" s="37">
        <f t="shared" si="30"/>
        <v>0</v>
      </c>
    </row>
    <row r="186" spans="1:10" x14ac:dyDescent="0.3">
      <c r="A186" s="20">
        <v>45873</v>
      </c>
      <c r="B186" s="1">
        <v>195</v>
      </c>
      <c r="C186" s="3">
        <f t="shared" si="31"/>
        <v>19.5</v>
      </c>
      <c r="D186" s="4">
        <v>3.89</v>
      </c>
      <c r="E186" s="5">
        <f t="shared" si="34"/>
        <v>75.855000000000004</v>
      </c>
      <c r="F186" s="6">
        <f t="shared" si="32"/>
        <v>25.35</v>
      </c>
      <c r="G186" s="4">
        <v>174.97</v>
      </c>
      <c r="H186" s="4">
        <v>68.599999999999994</v>
      </c>
      <c r="I186" s="7">
        <f t="shared" si="33"/>
        <v>101.20500000000001</v>
      </c>
      <c r="J186" s="37">
        <f t="shared" si="30"/>
        <v>142.36499999999998</v>
      </c>
    </row>
    <row r="187" spans="1:10" x14ac:dyDescent="0.3">
      <c r="A187" s="20">
        <v>45874</v>
      </c>
      <c r="B187" s="25">
        <v>108.1</v>
      </c>
      <c r="C187" s="36">
        <f t="shared" si="31"/>
        <v>10.809999999999999</v>
      </c>
      <c r="D187" s="4">
        <v>3.89</v>
      </c>
      <c r="E187" s="27">
        <f t="shared" si="34"/>
        <v>42.050899999999999</v>
      </c>
      <c r="F187" s="28">
        <f t="shared" si="32"/>
        <v>14.052999999999999</v>
      </c>
      <c r="G187" s="26">
        <v>16.600000000000001</v>
      </c>
      <c r="H187" s="26">
        <v>173.93</v>
      </c>
      <c r="I187" s="29">
        <f t="shared" si="33"/>
        <v>56.103899999999996</v>
      </c>
      <c r="J187" s="37">
        <f t="shared" si="30"/>
        <v>134.42610000000002</v>
      </c>
    </row>
    <row r="188" spans="1:10" x14ac:dyDescent="0.3">
      <c r="A188" s="20">
        <v>45875</v>
      </c>
      <c r="B188" s="25"/>
      <c r="C188" s="36">
        <f t="shared" si="31"/>
        <v>0</v>
      </c>
      <c r="D188" s="26"/>
      <c r="E188" s="27">
        <f t="shared" si="34"/>
        <v>0</v>
      </c>
      <c r="F188" s="28">
        <f t="shared" si="32"/>
        <v>0</v>
      </c>
      <c r="G188" s="26"/>
      <c r="H188" s="26"/>
      <c r="I188" s="29">
        <f t="shared" si="33"/>
        <v>0</v>
      </c>
      <c r="J188" s="37">
        <f t="shared" si="30"/>
        <v>0</v>
      </c>
    </row>
    <row r="189" spans="1:10" x14ac:dyDescent="0.3">
      <c r="A189" s="20">
        <v>45876</v>
      </c>
      <c r="B189" s="25">
        <v>165.1</v>
      </c>
      <c r="C189" s="36">
        <f t="shared" si="31"/>
        <v>16.509999999999998</v>
      </c>
      <c r="D189" s="26">
        <v>3.74</v>
      </c>
      <c r="E189" s="27">
        <f t="shared" si="34"/>
        <v>61.747399999999999</v>
      </c>
      <c r="F189" s="28">
        <f t="shared" si="32"/>
        <v>21.463000000000001</v>
      </c>
      <c r="G189" s="26">
        <v>124.03</v>
      </c>
      <c r="H189" s="26">
        <v>146.08000000000001</v>
      </c>
      <c r="I189" s="29">
        <f t="shared" si="33"/>
        <v>83.210399999999993</v>
      </c>
      <c r="J189" s="37">
        <f t="shared" si="30"/>
        <v>186.89960000000002</v>
      </c>
    </row>
    <row r="190" spans="1:10" x14ac:dyDescent="0.3">
      <c r="A190" s="20">
        <v>45877</v>
      </c>
      <c r="B190" s="25">
        <v>193.1</v>
      </c>
      <c r="C190" s="36">
        <f t="shared" ref="C190:C195" si="35">B190/10</f>
        <v>19.309999999999999</v>
      </c>
      <c r="D190" s="26">
        <v>3.89</v>
      </c>
      <c r="E190" s="27">
        <f t="shared" ref="E190:E195" si="36">C190*D190</f>
        <v>75.115899999999996</v>
      </c>
      <c r="F190" s="28">
        <f t="shared" ref="F190:F195" si="37">B190*0.13</f>
        <v>25.103000000000002</v>
      </c>
      <c r="G190" s="26">
        <v>169.34</v>
      </c>
      <c r="H190" s="26">
        <v>124.43</v>
      </c>
      <c r="I190" s="29">
        <f t="shared" ref="I190:I195" si="38">E190+F190</f>
        <v>100.21889999999999</v>
      </c>
      <c r="J190" s="37">
        <f t="shared" si="30"/>
        <v>193.55109999999999</v>
      </c>
    </row>
    <row r="191" spans="1:10" x14ac:dyDescent="0.3">
      <c r="A191" s="20">
        <v>45878</v>
      </c>
      <c r="B191" s="25"/>
      <c r="C191" s="36"/>
      <c r="D191" s="26"/>
      <c r="E191" s="27">
        <f t="shared" si="36"/>
        <v>0</v>
      </c>
      <c r="F191" s="28">
        <f t="shared" si="37"/>
        <v>0</v>
      </c>
      <c r="G191" s="26"/>
      <c r="H191" s="26"/>
      <c r="I191" s="29">
        <f t="shared" si="38"/>
        <v>0</v>
      </c>
      <c r="J191" s="37">
        <f t="shared" si="30"/>
        <v>0</v>
      </c>
    </row>
    <row r="192" spans="1:10" x14ac:dyDescent="0.3">
      <c r="A192" s="20">
        <v>45879</v>
      </c>
      <c r="B192" s="25"/>
      <c r="C192" s="36"/>
      <c r="D192" s="26"/>
      <c r="E192" s="27">
        <f t="shared" si="36"/>
        <v>0</v>
      </c>
      <c r="F192" s="28">
        <f t="shared" si="37"/>
        <v>0</v>
      </c>
      <c r="G192" s="26"/>
      <c r="H192" s="26"/>
      <c r="I192" s="29">
        <f t="shared" si="38"/>
        <v>0</v>
      </c>
      <c r="J192" s="37">
        <f t="shared" si="30"/>
        <v>0</v>
      </c>
    </row>
    <row r="193" spans="1:10" x14ac:dyDescent="0.3">
      <c r="A193" s="20">
        <v>45880</v>
      </c>
      <c r="B193" s="25">
        <v>134.9</v>
      </c>
      <c r="C193" s="36">
        <f t="shared" si="35"/>
        <v>13.49</v>
      </c>
      <c r="D193" s="26">
        <v>3.89</v>
      </c>
      <c r="E193" s="27">
        <f t="shared" si="36"/>
        <v>52.476100000000002</v>
      </c>
      <c r="F193" s="28">
        <f t="shared" si="37"/>
        <v>17.537000000000003</v>
      </c>
      <c r="G193" s="26">
        <v>108.92</v>
      </c>
      <c r="H193" s="26">
        <v>143.9</v>
      </c>
      <c r="I193" s="29">
        <f t="shared" si="38"/>
        <v>70.013100000000009</v>
      </c>
      <c r="J193" s="37">
        <f t="shared" si="30"/>
        <v>182.80689999999998</v>
      </c>
    </row>
    <row r="194" spans="1:10" x14ac:dyDescent="0.3">
      <c r="A194" s="20">
        <v>45881</v>
      </c>
      <c r="B194" s="25">
        <v>153</v>
      </c>
      <c r="C194" s="36">
        <f t="shared" si="35"/>
        <v>15.3</v>
      </c>
      <c r="D194" s="26">
        <v>3.89</v>
      </c>
      <c r="E194" s="27">
        <f t="shared" si="36"/>
        <v>59.517000000000003</v>
      </c>
      <c r="F194" s="28">
        <f t="shared" si="37"/>
        <v>19.89</v>
      </c>
      <c r="G194" s="26">
        <v>63.55</v>
      </c>
      <c r="H194" s="26">
        <v>244.89</v>
      </c>
      <c r="I194" s="29">
        <f t="shared" si="38"/>
        <v>79.407000000000011</v>
      </c>
      <c r="J194" s="37">
        <f t="shared" si="30"/>
        <v>229.03299999999999</v>
      </c>
    </row>
    <row r="195" spans="1:10" x14ac:dyDescent="0.3">
      <c r="A195" s="20">
        <v>45882</v>
      </c>
      <c r="B195" s="25">
        <v>124</v>
      </c>
      <c r="C195" s="36">
        <f t="shared" si="35"/>
        <v>12.4</v>
      </c>
      <c r="D195" s="26">
        <v>3.89</v>
      </c>
      <c r="E195" s="27">
        <f t="shared" si="36"/>
        <v>48.236000000000004</v>
      </c>
      <c r="F195" s="28">
        <f t="shared" si="37"/>
        <v>16.12</v>
      </c>
      <c r="G195" s="26">
        <v>89.97</v>
      </c>
      <c r="H195" s="26">
        <v>110.55</v>
      </c>
      <c r="I195" s="29">
        <f t="shared" si="38"/>
        <v>64.356000000000009</v>
      </c>
      <c r="J195" s="37">
        <f t="shared" si="30"/>
        <v>136.16399999999999</v>
      </c>
    </row>
    <row r="196" spans="1:10" x14ac:dyDescent="0.3">
      <c r="A196" s="20">
        <v>45883</v>
      </c>
      <c r="B196" s="25">
        <v>156</v>
      </c>
      <c r="C196" s="36">
        <f t="shared" ref="C196:C201" si="39">B196/10</f>
        <v>15.6</v>
      </c>
      <c r="D196" s="26">
        <v>3.89</v>
      </c>
      <c r="E196" s="27">
        <f t="shared" ref="E196:E201" si="40">C196*D196</f>
        <v>60.683999999999997</v>
      </c>
      <c r="F196" s="28">
        <f t="shared" ref="F196:F201" si="41">B196*0.13</f>
        <v>20.28</v>
      </c>
      <c r="G196" s="26">
        <v>94.36</v>
      </c>
      <c r="H196" s="26">
        <v>138.85</v>
      </c>
      <c r="I196" s="29">
        <f t="shared" ref="I196:I201" si="42">E196+F196</f>
        <v>80.963999999999999</v>
      </c>
      <c r="J196" s="37">
        <f t="shared" si="30"/>
        <v>152.24599999999998</v>
      </c>
    </row>
    <row r="197" spans="1:10" x14ac:dyDescent="0.3">
      <c r="A197" s="20">
        <v>45884</v>
      </c>
      <c r="B197" s="25">
        <v>172.2</v>
      </c>
      <c r="C197" s="36">
        <f t="shared" si="39"/>
        <v>17.22</v>
      </c>
      <c r="D197" s="26">
        <v>3.89</v>
      </c>
      <c r="E197" s="27">
        <f t="shared" si="40"/>
        <v>66.985799999999998</v>
      </c>
      <c r="F197" s="28">
        <f t="shared" si="41"/>
        <v>22.385999999999999</v>
      </c>
      <c r="G197" s="26">
        <v>35.6</v>
      </c>
      <c r="H197" s="26">
        <v>258.63</v>
      </c>
      <c r="I197" s="29">
        <f t="shared" si="42"/>
        <v>89.371799999999993</v>
      </c>
      <c r="J197" s="37">
        <f t="shared" si="30"/>
        <v>204.85820000000001</v>
      </c>
    </row>
    <row r="198" spans="1:10" x14ac:dyDescent="0.3">
      <c r="A198" s="20">
        <v>45885</v>
      </c>
      <c r="B198" s="25"/>
      <c r="C198" s="36"/>
      <c r="D198" s="26"/>
      <c r="E198" s="27">
        <f t="shared" si="40"/>
        <v>0</v>
      </c>
      <c r="F198" s="28">
        <f t="shared" si="41"/>
        <v>0</v>
      </c>
      <c r="G198" s="26"/>
      <c r="H198" s="26"/>
      <c r="I198" s="29">
        <f t="shared" si="42"/>
        <v>0</v>
      </c>
      <c r="J198" s="37">
        <f t="shared" si="30"/>
        <v>0</v>
      </c>
    </row>
    <row r="199" spans="1:10" x14ac:dyDescent="0.3">
      <c r="A199" s="20">
        <v>45886</v>
      </c>
      <c r="B199" s="1"/>
      <c r="C199" s="3"/>
      <c r="D199" s="4"/>
      <c r="E199" s="5">
        <f t="shared" si="40"/>
        <v>0</v>
      </c>
      <c r="F199" s="6">
        <f t="shared" si="41"/>
        <v>0</v>
      </c>
      <c r="G199" s="4"/>
      <c r="H199" s="4"/>
      <c r="I199" s="7">
        <f t="shared" si="42"/>
        <v>0</v>
      </c>
      <c r="J199" s="37">
        <f t="shared" si="30"/>
        <v>0</v>
      </c>
    </row>
    <row r="200" spans="1:10" x14ac:dyDescent="0.3">
      <c r="A200" s="20">
        <v>45887</v>
      </c>
      <c r="B200" s="1">
        <v>167.8</v>
      </c>
      <c r="C200" s="3">
        <f t="shared" si="39"/>
        <v>16.78</v>
      </c>
      <c r="D200" s="4">
        <v>3.89</v>
      </c>
      <c r="E200" s="5">
        <f t="shared" si="40"/>
        <v>65.274200000000008</v>
      </c>
      <c r="F200" s="6">
        <f t="shared" si="41"/>
        <v>21.814000000000004</v>
      </c>
      <c r="G200" s="4">
        <v>32.94</v>
      </c>
      <c r="H200" s="4">
        <v>271.39999999999998</v>
      </c>
      <c r="I200" s="7">
        <f t="shared" si="42"/>
        <v>87.088200000000015</v>
      </c>
      <c r="J200" s="37">
        <f t="shared" si="30"/>
        <v>217.25179999999995</v>
      </c>
    </row>
    <row r="201" spans="1:10" x14ac:dyDescent="0.3">
      <c r="A201" s="20">
        <v>45888</v>
      </c>
      <c r="B201" s="25">
        <v>164.1</v>
      </c>
      <c r="C201" s="36">
        <f t="shared" si="39"/>
        <v>16.41</v>
      </c>
      <c r="D201" s="26">
        <v>3.89</v>
      </c>
      <c r="E201" s="27">
        <f t="shared" si="40"/>
        <v>63.834900000000005</v>
      </c>
      <c r="F201" s="28">
        <f t="shared" si="41"/>
        <v>21.332999999999998</v>
      </c>
      <c r="G201" s="26">
        <v>100.71</v>
      </c>
      <c r="H201" s="26">
        <v>131.16999999999999</v>
      </c>
      <c r="I201" s="29">
        <f t="shared" si="42"/>
        <v>85.167900000000003</v>
      </c>
      <c r="J201" s="37">
        <f t="shared" si="30"/>
        <v>146.71209999999999</v>
      </c>
    </row>
    <row r="202" spans="1:10" x14ac:dyDescent="0.3">
      <c r="A202" s="20">
        <v>45889</v>
      </c>
      <c r="B202" s="25">
        <v>155</v>
      </c>
      <c r="C202" s="36">
        <f>B202/10</f>
        <v>15.5</v>
      </c>
      <c r="D202" s="26">
        <v>3.89</v>
      </c>
      <c r="E202" s="27">
        <f>C202*D202</f>
        <v>60.295000000000002</v>
      </c>
      <c r="F202" s="28">
        <f>B202*0.13</f>
        <v>20.150000000000002</v>
      </c>
      <c r="G202" s="26">
        <v>0.01</v>
      </c>
      <c r="H202" s="26">
        <v>268.02</v>
      </c>
      <c r="I202" s="29">
        <f>E202+F202</f>
        <v>80.445000000000007</v>
      </c>
      <c r="J202" s="37">
        <f t="shared" si="30"/>
        <v>187.58499999999998</v>
      </c>
    </row>
    <row r="203" spans="1:10" x14ac:dyDescent="0.3">
      <c r="A203" s="20">
        <v>45890</v>
      </c>
      <c r="B203" s="25">
        <v>144.80000000000001</v>
      </c>
      <c r="C203" s="36">
        <f>B203/10</f>
        <v>14.48</v>
      </c>
      <c r="D203" s="26">
        <v>3.89</v>
      </c>
      <c r="E203" s="27">
        <f>C203*D203</f>
        <v>56.327200000000005</v>
      </c>
      <c r="F203" s="28">
        <f>B203*0.13</f>
        <v>18.824000000000002</v>
      </c>
      <c r="G203" s="26">
        <v>10.91</v>
      </c>
      <c r="H203" s="26">
        <v>237.65</v>
      </c>
      <c r="I203" s="29">
        <f>E203+F203</f>
        <v>75.151200000000003</v>
      </c>
      <c r="J203" s="37">
        <f t="shared" si="30"/>
        <v>173.40879999999999</v>
      </c>
    </row>
    <row r="204" spans="1:10" x14ac:dyDescent="0.3">
      <c r="A204" s="20">
        <v>45891</v>
      </c>
      <c r="B204" s="25">
        <v>115</v>
      </c>
      <c r="C204" s="36">
        <f>B204/10</f>
        <v>11.5</v>
      </c>
      <c r="D204" s="26">
        <v>3.74</v>
      </c>
      <c r="E204" s="27">
        <f>C204*D204</f>
        <v>43.010000000000005</v>
      </c>
      <c r="F204" s="28">
        <f>B204*0.13</f>
        <v>14.950000000000001</v>
      </c>
      <c r="G204" s="26">
        <v>21.9</v>
      </c>
      <c r="H204" s="26">
        <v>151.88999999999999</v>
      </c>
      <c r="I204" s="29">
        <f>E204+F204</f>
        <v>57.960000000000008</v>
      </c>
      <c r="J204" s="37">
        <f t="shared" si="30"/>
        <v>115.82999999999998</v>
      </c>
    </row>
    <row r="205" spans="1:10" x14ac:dyDescent="0.3">
      <c r="A205" s="20">
        <v>45892</v>
      </c>
      <c r="B205" s="25"/>
      <c r="C205" s="36"/>
      <c r="D205" s="26"/>
      <c r="E205" s="27">
        <f>C205*D205</f>
        <v>0</v>
      </c>
      <c r="F205" s="28">
        <f>B205*0.13</f>
        <v>0</v>
      </c>
      <c r="G205" s="26"/>
      <c r="H205" s="26"/>
      <c r="I205" s="29">
        <f>E205+F205</f>
        <v>0</v>
      </c>
      <c r="J205" s="37">
        <f t="shared" si="30"/>
        <v>0</v>
      </c>
    </row>
    <row r="206" spans="1:10" x14ac:dyDescent="0.3">
      <c r="A206" s="20">
        <v>45893</v>
      </c>
      <c r="B206" s="1"/>
      <c r="C206" s="3"/>
      <c r="D206" s="4"/>
      <c r="E206" s="5">
        <f t="shared" ref="E206:E207" si="43">C206*D206</f>
        <v>0</v>
      </c>
      <c r="F206" s="6">
        <f t="shared" ref="F206:F207" si="44">B206*0.13</f>
        <v>0</v>
      </c>
      <c r="G206" s="4"/>
      <c r="H206" s="4"/>
      <c r="I206" s="7">
        <f t="shared" ref="I206:I207" si="45">E206+F206</f>
        <v>0</v>
      </c>
      <c r="J206" s="37">
        <f t="shared" si="30"/>
        <v>0</v>
      </c>
    </row>
    <row r="207" spans="1:10" x14ac:dyDescent="0.3">
      <c r="A207" s="20">
        <v>45894</v>
      </c>
      <c r="B207" s="1">
        <v>134.4</v>
      </c>
      <c r="C207" s="3">
        <f t="shared" ref="C207" si="46">B207/10</f>
        <v>13.440000000000001</v>
      </c>
      <c r="D207" s="4">
        <v>3.89</v>
      </c>
      <c r="E207" s="5">
        <f t="shared" si="43"/>
        <v>52.281600000000005</v>
      </c>
      <c r="F207" s="6">
        <f t="shared" si="44"/>
        <v>17.472000000000001</v>
      </c>
      <c r="G207" s="4">
        <v>0.01</v>
      </c>
      <c r="H207" s="4">
        <v>236.71</v>
      </c>
      <c r="I207" s="7">
        <f t="shared" si="45"/>
        <v>69.753600000000006</v>
      </c>
      <c r="J207" s="37">
        <f t="shared" si="30"/>
        <v>166.96639999999999</v>
      </c>
    </row>
    <row r="208" spans="1:10" x14ac:dyDescent="0.3">
      <c r="A208" s="20">
        <v>45895</v>
      </c>
      <c r="B208" s="25">
        <v>119</v>
      </c>
      <c r="C208" s="36">
        <f t="shared" ref="C208:C214" si="47">B208/10</f>
        <v>11.9</v>
      </c>
      <c r="D208" s="26">
        <v>3.89</v>
      </c>
      <c r="E208" s="27">
        <f t="shared" ref="E208:E214" si="48">C208*D208</f>
        <v>46.291000000000004</v>
      </c>
      <c r="F208" s="28">
        <f t="shared" ref="F208:F214" si="49">B208*0.13</f>
        <v>15.47</v>
      </c>
      <c r="G208" s="26">
        <v>64.790000000000006</v>
      </c>
      <c r="H208" s="26">
        <v>119.13</v>
      </c>
      <c r="I208" s="29">
        <f t="shared" ref="I208:I214" si="50">E208+F208</f>
        <v>61.761000000000003</v>
      </c>
      <c r="J208" s="37">
        <f t="shared" si="30"/>
        <v>122.15900000000002</v>
      </c>
    </row>
    <row r="209" spans="1:10" x14ac:dyDescent="0.3">
      <c r="A209" s="20">
        <v>45896</v>
      </c>
      <c r="B209" s="25">
        <v>115.3</v>
      </c>
      <c r="C209" s="36">
        <f t="shared" si="47"/>
        <v>11.53</v>
      </c>
      <c r="D209" s="26">
        <v>3.74</v>
      </c>
      <c r="E209" s="27">
        <f t="shared" si="48"/>
        <v>43.122199999999999</v>
      </c>
      <c r="F209" s="28">
        <f t="shared" si="49"/>
        <v>14.989000000000001</v>
      </c>
      <c r="G209" s="26">
        <v>0.01</v>
      </c>
      <c r="H209" s="26">
        <v>219.3</v>
      </c>
      <c r="I209" s="29">
        <f t="shared" si="50"/>
        <v>58.111199999999997</v>
      </c>
      <c r="J209" s="37">
        <f t="shared" si="30"/>
        <v>161.19880000000001</v>
      </c>
    </row>
    <row r="210" spans="1:10" x14ac:dyDescent="0.3">
      <c r="A210" s="20">
        <v>45897</v>
      </c>
      <c r="B210" s="25">
        <v>140.80000000000001</v>
      </c>
      <c r="C210" s="36">
        <f t="shared" si="47"/>
        <v>14.080000000000002</v>
      </c>
      <c r="D210" s="26">
        <v>3.89</v>
      </c>
      <c r="E210" s="27">
        <f t="shared" si="48"/>
        <v>54.771200000000007</v>
      </c>
      <c r="F210" s="28">
        <f t="shared" si="49"/>
        <v>18.304000000000002</v>
      </c>
      <c r="G210" s="26">
        <v>47.94</v>
      </c>
      <c r="H210" s="26">
        <v>156.99</v>
      </c>
      <c r="I210" s="29">
        <f t="shared" si="50"/>
        <v>73.075200000000009</v>
      </c>
      <c r="J210" s="37">
        <f t="shared" si="30"/>
        <v>131.85480000000001</v>
      </c>
    </row>
    <row r="211" spans="1:10" x14ac:dyDescent="0.3">
      <c r="A211" s="20">
        <v>45898</v>
      </c>
      <c r="B211" s="25">
        <v>151.69999999999999</v>
      </c>
      <c r="C211" s="36">
        <f t="shared" si="47"/>
        <v>15.169999999999998</v>
      </c>
      <c r="D211" s="26">
        <v>3.74</v>
      </c>
      <c r="E211" s="27">
        <f t="shared" si="48"/>
        <v>56.735799999999998</v>
      </c>
      <c r="F211" s="28">
        <f t="shared" si="49"/>
        <v>19.721</v>
      </c>
      <c r="G211" s="26">
        <v>28.86</v>
      </c>
      <c r="H211" s="26">
        <v>228.92</v>
      </c>
      <c r="I211" s="29">
        <f t="shared" si="50"/>
        <v>76.456800000000001</v>
      </c>
      <c r="J211" s="37">
        <f t="shared" si="30"/>
        <v>181.32319999999999</v>
      </c>
    </row>
    <row r="212" spans="1:10" x14ac:dyDescent="0.3">
      <c r="A212" s="20">
        <v>45899</v>
      </c>
      <c r="B212" s="25"/>
      <c r="C212" s="36"/>
      <c r="D212" s="26"/>
      <c r="E212" s="27">
        <f t="shared" si="48"/>
        <v>0</v>
      </c>
      <c r="F212" s="28">
        <f t="shared" si="49"/>
        <v>0</v>
      </c>
      <c r="G212" s="26"/>
      <c r="H212" s="26"/>
      <c r="I212" s="29">
        <f t="shared" si="50"/>
        <v>0</v>
      </c>
      <c r="J212" s="37">
        <f t="shared" si="30"/>
        <v>0</v>
      </c>
    </row>
    <row r="213" spans="1:10" x14ac:dyDescent="0.3">
      <c r="A213" s="20">
        <v>45900</v>
      </c>
      <c r="B213" s="25"/>
      <c r="C213" s="36"/>
      <c r="D213" s="26"/>
      <c r="E213" s="27">
        <f t="shared" si="48"/>
        <v>0</v>
      </c>
      <c r="F213" s="28">
        <f t="shared" si="49"/>
        <v>0</v>
      </c>
      <c r="G213" s="26"/>
      <c r="H213" s="26"/>
      <c r="I213" s="29">
        <f t="shared" si="50"/>
        <v>0</v>
      </c>
      <c r="J213" s="37">
        <f t="shared" si="30"/>
        <v>0</v>
      </c>
    </row>
    <row r="214" spans="1:10" x14ac:dyDescent="0.3">
      <c r="A214" s="20">
        <v>45901</v>
      </c>
      <c r="B214" s="1">
        <v>151.80000000000001</v>
      </c>
      <c r="C214" s="3">
        <f t="shared" si="47"/>
        <v>15.180000000000001</v>
      </c>
      <c r="D214" s="4">
        <v>3.89</v>
      </c>
      <c r="E214" s="5">
        <f t="shared" si="48"/>
        <v>59.050200000000011</v>
      </c>
      <c r="F214" s="6">
        <f t="shared" si="49"/>
        <v>19.734000000000002</v>
      </c>
      <c r="G214" s="4">
        <v>9.5399999999999991</v>
      </c>
      <c r="H214" s="4">
        <v>258.81</v>
      </c>
      <c r="I214" s="7">
        <f t="shared" si="50"/>
        <v>78.784200000000013</v>
      </c>
      <c r="J214" s="37">
        <f t="shared" si="30"/>
        <v>189.56580000000002</v>
      </c>
    </row>
    <row r="215" spans="1:10" x14ac:dyDescent="0.3">
      <c r="A215" s="20">
        <v>45902</v>
      </c>
      <c r="B215" s="25">
        <v>164.3</v>
      </c>
      <c r="C215" s="36">
        <f t="shared" ref="C215:C221" si="51">B215/10</f>
        <v>16.43</v>
      </c>
      <c r="D215" s="26">
        <v>3.89</v>
      </c>
      <c r="E215" s="27">
        <f t="shared" ref="E215:E221" si="52">C215*D215</f>
        <v>63.912700000000001</v>
      </c>
      <c r="F215" s="28">
        <f t="shared" ref="F215:F221" si="53">B215*0.13</f>
        <v>21.359000000000002</v>
      </c>
      <c r="G215" s="26">
        <v>21.83</v>
      </c>
      <c r="H215" s="26">
        <v>226.31</v>
      </c>
      <c r="I215" s="29">
        <f t="shared" ref="I215:I221" si="54">E215+F215</f>
        <v>85.27170000000001</v>
      </c>
      <c r="J215" s="37">
        <f t="shared" si="30"/>
        <v>162.86829999999998</v>
      </c>
    </row>
    <row r="216" spans="1:10" x14ac:dyDescent="0.3">
      <c r="A216" s="20">
        <v>45903</v>
      </c>
      <c r="B216" s="25">
        <v>123.4</v>
      </c>
      <c r="C216" s="36">
        <f t="shared" si="51"/>
        <v>12.34</v>
      </c>
      <c r="D216" s="26">
        <v>3.89</v>
      </c>
      <c r="E216" s="27">
        <f t="shared" si="52"/>
        <v>48.002600000000001</v>
      </c>
      <c r="F216" s="28">
        <f t="shared" si="53"/>
        <v>16.042000000000002</v>
      </c>
      <c r="G216" s="26">
        <v>28.52</v>
      </c>
      <c r="H216" s="26">
        <v>164.18</v>
      </c>
      <c r="I216" s="29">
        <f t="shared" si="54"/>
        <v>64.044600000000003</v>
      </c>
      <c r="J216" s="37">
        <f t="shared" si="30"/>
        <v>128.65540000000001</v>
      </c>
    </row>
    <row r="217" spans="1:10" x14ac:dyDescent="0.3">
      <c r="A217" s="20">
        <v>45904</v>
      </c>
      <c r="B217" s="25">
        <v>126.2</v>
      </c>
      <c r="C217" s="36">
        <f t="shared" si="51"/>
        <v>12.620000000000001</v>
      </c>
      <c r="D217" s="26">
        <v>3.89</v>
      </c>
      <c r="E217" s="27">
        <f t="shared" si="52"/>
        <v>49.091800000000006</v>
      </c>
      <c r="F217" s="28">
        <f t="shared" si="53"/>
        <v>16.406000000000002</v>
      </c>
      <c r="G217" s="26">
        <v>16.600000000000001</v>
      </c>
      <c r="H217" s="26">
        <v>162.19</v>
      </c>
      <c r="I217" s="29">
        <f t="shared" si="54"/>
        <v>65.497800000000012</v>
      </c>
      <c r="J217" s="37">
        <f t="shared" si="30"/>
        <v>113.29219999999998</v>
      </c>
    </row>
    <row r="218" spans="1:10" x14ac:dyDescent="0.3">
      <c r="A218" s="20">
        <v>45905</v>
      </c>
      <c r="B218" s="25">
        <v>214.5</v>
      </c>
      <c r="C218" s="36">
        <f t="shared" si="51"/>
        <v>21.45</v>
      </c>
      <c r="D218" s="26">
        <v>3.89</v>
      </c>
      <c r="E218" s="27">
        <f t="shared" si="52"/>
        <v>83.4405</v>
      </c>
      <c r="F218" s="28">
        <f t="shared" si="53"/>
        <v>27.885000000000002</v>
      </c>
      <c r="G218" s="26">
        <v>139.04</v>
      </c>
      <c r="H218" s="26">
        <v>144.62</v>
      </c>
      <c r="I218" s="29">
        <f t="shared" si="54"/>
        <v>111.32550000000001</v>
      </c>
      <c r="J218" s="37">
        <f t="shared" si="30"/>
        <v>172.33449999999996</v>
      </c>
    </row>
    <row r="219" spans="1:10" x14ac:dyDescent="0.3">
      <c r="A219" s="20">
        <v>45906</v>
      </c>
      <c r="B219" s="25"/>
      <c r="C219" s="36"/>
      <c r="D219" s="26"/>
      <c r="E219" s="27">
        <f t="shared" si="52"/>
        <v>0</v>
      </c>
      <c r="F219" s="28">
        <f t="shared" si="53"/>
        <v>0</v>
      </c>
      <c r="G219" s="26"/>
      <c r="H219" s="26"/>
      <c r="I219" s="29">
        <f t="shared" si="54"/>
        <v>0</v>
      </c>
      <c r="J219" s="37">
        <f t="shared" si="30"/>
        <v>0</v>
      </c>
    </row>
    <row r="220" spans="1:10" x14ac:dyDescent="0.3">
      <c r="A220" s="20">
        <v>45907</v>
      </c>
      <c r="B220" s="25"/>
      <c r="C220" s="36"/>
      <c r="D220" s="26"/>
      <c r="E220" s="27">
        <f t="shared" si="52"/>
        <v>0</v>
      </c>
      <c r="F220" s="28">
        <f t="shared" si="53"/>
        <v>0</v>
      </c>
      <c r="G220" s="26"/>
      <c r="H220" s="26"/>
      <c r="I220" s="29">
        <f t="shared" si="54"/>
        <v>0</v>
      </c>
      <c r="J220" s="37">
        <f t="shared" si="30"/>
        <v>0</v>
      </c>
    </row>
    <row r="221" spans="1:10" x14ac:dyDescent="0.3">
      <c r="A221" s="20">
        <v>45908</v>
      </c>
      <c r="B221" s="25">
        <v>145.9</v>
      </c>
      <c r="C221" s="36">
        <f t="shared" si="51"/>
        <v>14.59</v>
      </c>
      <c r="D221" s="26">
        <v>3.99</v>
      </c>
      <c r="E221" s="27">
        <f t="shared" si="52"/>
        <v>58.214100000000002</v>
      </c>
      <c r="F221" s="28">
        <f t="shared" si="53"/>
        <v>18.967000000000002</v>
      </c>
      <c r="G221" s="26">
        <v>0.01</v>
      </c>
      <c r="H221" s="26">
        <v>266.3</v>
      </c>
      <c r="I221" s="29">
        <f t="shared" si="54"/>
        <v>77.181100000000001</v>
      </c>
      <c r="J221" s="37">
        <f t="shared" si="30"/>
        <v>189.12889999999999</v>
      </c>
    </row>
    <row r="222" spans="1:10" x14ac:dyDescent="0.3">
      <c r="A222" s="20">
        <v>45909</v>
      </c>
      <c r="B222" s="25">
        <v>188.4</v>
      </c>
      <c r="C222" s="36">
        <f t="shared" ref="C222:C229" si="55">B222/10</f>
        <v>18.84</v>
      </c>
      <c r="D222" s="26">
        <v>3.89</v>
      </c>
      <c r="E222" s="27">
        <f t="shared" ref="E222:E229" si="56">C222*D222</f>
        <v>73.287599999999998</v>
      </c>
      <c r="F222" s="28">
        <f t="shared" ref="F222:F229" si="57">B222*0.13</f>
        <v>24.492000000000001</v>
      </c>
      <c r="G222" s="26">
        <v>73.510000000000005</v>
      </c>
      <c r="H222" s="26">
        <v>213.05</v>
      </c>
      <c r="I222" s="29">
        <f t="shared" ref="I222:I229" si="58">E222+F222</f>
        <v>97.779600000000002</v>
      </c>
      <c r="J222" s="37">
        <f t="shared" si="30"/>
        <v>188.78039999999999</v>
      </c>
    </row>
    <row r="223" spans="1:10" x14ac:dyDescent="0.3">
      <c r="A223" s="20">
        <v>45910</v>
      </c>
      <c r="B223" s="25">
        <v>178.3</v>
      </c>
      <c r="C223" s="36">
        <f t="shared" si="55"/>
        <v>17.830000000000002</v>
      </c>
      <c r="D223" s="26">
        <v>3.89</v>
      </c>
      <c r="E223" s="27">
        <f t="shared" si="56"/>
        <v>69.358700000000013</v>
      </c>
      <c r="F223" s="28">
        <f t="shared" si="57"/>
        <v>23.179000000000002</v>
      </c>
      <c r="G223" s="26">
        <v>22.4</v>
      </c>
      <c r="H223" s="26">
        <v>246.49</v>
      </c>
      <c r="I223" s="29">
        <f t="shared" si="58"/>
        <v>92.537700000000015</v>
      </c>
      <c r="J223" s="37">
        <f t="shared" si="30"/>
        <v>176.35229999999996</v>
      </c>
    </row>
    <row r="224" spans="1:10" x14ac:dyDescent="0.3">
      <c r="A224" s="20">
        <v>45911</v>
      </c>
      <c r="B224" s="25">
        <v>173.6</v>
      </c>
      <c r="C224" s="36">
        <f t="shared" si="55"/>
        <v>17.36</v>
      </c>
      <c r="D224" s="26">
        <v>3.89</v>
      </c>
      <c r="E224" s="27">
        <f t="shared" si="56"/>
        <v>67.5304</v>
      </c>
      <c r="F224" s="28">
        <f t="shared" si="57"/>
        <v>22.568000000000001</v>
      </c>
      <c r="G224" s="26">
        <v>80.989999999999995</v>
      </c>
      <c r="H224" s="26">
        <v>199.29</v>
      </c>
      <c r="I224" s="29">
        <f t="shared" si="58"/>
        <v>90.098399999999998</v>
      </c>
      <c r="J224" s="37">
        <f t="shared" si="30"/>
        <v>190.18159999999997</v>
      </c>
    </row>
    <row r="225" spans="1:10" x14ac:dyDescent="0.3">
      <c r="A225" s="20">
        <v>45912</v>
      </c>
      <c r="B225" s="25">
        <v>173</v>
      </c>
      <c r="C225" s="36">
        <f t="shared" si="55"/>
        <v>17.3</v>
      </c>
      <c r="D225" s="26">
        <v>3.89</v>
      </c>
      <c r="E225" s="27">
        <f t="shared" si="56"/>
        <v>67.297000000000011</v>
      </c>
      <c r="F225" s="28">
        <f t="shared" si="57"/>
        <v>22.490000000000002</v>
      </c>
      <c r="G225" s="26">
        <v>90.02</v>
      </c>
      <c r="H225" s="26">
        <v>178.81</v>
      </c>
      <c r="I225" s="29">
        <f t="shared" si="58"/>
        <v>89.787000000000006</v>
      </c>
      <c r="J225" s="37">
        <f t="shared" si="30"/>
        <v>179.04299999999998</v>
      </c>
    </row>
    <row r="226" spans="1:10" x14ac:dyDescent="0.3">
      <c r="A226" s="20">
        <v>45913</v>
      </c>
      <c r="B226" s="25"/>
      <c r="C226" s="36"/>
      <c r="D226" s="26"/>
      <c r="E226" s="27">
        <f t="shared" si="56"/>
        <v>0</v>
      </c>
      <c r="F226" s="28">
        <f t="shared" si="57"/>
        <v>0</v>
      </c>
      <c r="G226" s="26"/>
      <c r="H226" s="26"/>
      <c r="I226" s="29">
        <f t="shared" si="58"/>
        <v>0</v>
      </c>
      <c r="J226" s="37">
        <f t="shared" si="30"/>
        <v>0</v>
      </c>
    </row>
    <row r="227" spans="1:10" x14ac:dyDescent="0.3">
      <c r="A227" s="20">
        <v>45914</v>
      </c>
      <c r="B227" s="25"/>
      <c r="C227" s="36"/>
      <c r="D227" s="26"/>
      <c r="E227" s="27">
        <f t="shared" si="56"/>
        <v>0</v>
      </c>
      <c r="F227" s="28">
        <f t="shared" si="57"/>
        <v>0</v>
      </c>
      <c r="G227" s="26"/>
      <c r="H227" s="26"/>
      <c r="I227" s="29">
        <f t="shared" si="58"/>
        <v>0</v>
      </c>
      <c r="J227" s="37">
        <f t="shared" si="30"/>
        <v>0</v>
      </c>
    </row>
    <row r="228" spans="1:10" x14ac:dyDescent="0.3">
      <c r="A228" s="20">
        <v>45915</v>
      </c>
      <c r="B228" s="25">
        <v>188</v>
      </c>
      <c r="C228" s="36">
        <f t="shared" si="55"/>
        <v>18.8</v>
      </c>
      <c r="D228" s="26">
        <v>3.89</v>
      </c>
      <c r="E228" s="27">
        <f t="shared" si="56"/>
        <v>73.132000000000005</v>
      </c>
      <c r="F228" s="28">
        <f t="shared" si="57"/>
        <v>24.44</v>
      </c>
      <c r="G228" s="26">
        <v>190.46</v>
      </c>
      <c r="H228" s="26">
        <v>92</v>
      </c>
      <c r="I228" s="29">
        <f t="shared" si="58"/>
        <v>97.572000000000003</v>
      </c>
      <c r="J228" s="37">
        <f t="shared" si="30"/>
        <v>184.88800000000003</v>
      </c>
    </row>
    <row r="229" spans="1:10" x14ac:dyDescent="0.3">
      <c r="A229" s="20">
        <v>45916</v>
      </c>
      <c r="B229" s="25">
        <v>166.4</v>
      </c>
      <c r="C229" s="36">
        <f t="shared" si="55"/>
        <v>16.64</v>
      </c>
      <c r="D229" s="26">
        <v>3.79</v>
      </c>
      <c r="E229" s="27">
        <f t="shared" si="56"/>
        <v>63.065600000000003</v>
      </c>
      <c r="F229" s="28">
        <f t="shared" si="57"/>
        <v>21.632000000000001</v>
      </c>
      <c r="G229" s="26">
        <v>154.79</v>
      </c>
      <c r="H229" s="26">
        <v>105.2</v>
      </c>
      <c r="I229" s="29">
        <f t="shared" si="58"/>
        <v>84.697600000000008</v>
      </c>
      <c r="J229" s="37">
        <f t="shared" si="30"/>
        <v>175.29239999999999</v>
      </c>
    </row>
    <row r="230" spans="1:10" x14ac:dyDescent="0.3">
      <c r="A230" s="20">
        <v>45917</v>
      </c>
      <c r="B230" s="25">
        <v>163.4</v>
      </c>
      <c r="C230" s="36">
        <f t="shared" ref="C230:C236" si="59">B230/10</f>
        <v>16.34</v>
      </c>
      <c r="D230" s="26">
        <v>3.89</v>
      </c>
      <c r="E230" s="27">
        <f t="shared" ref="E230:E236" si="60">C230*D230</f>
        <v>63.562600000000003</v>
      </c>
      <c r="F230" s="28">
        <f t="shared" ref="F230:F236" si="61">B230*0.13</f>
        <v>21.242000000000001</v>
      </c>
      <c r="G230" s="26">
        <v>128.38</v>
      </c>
      <c r="H230" s="26">
        <v>125.42</v>
      </c>
      <c r="I230" s="29">
        <f t="shared" ref="I230:I236" si="62">E230+F230</f>
        <v>84.804600000000008</v>
      </c>
      <c r="J230" s="37">
        <f t="shared" si="30"/>
        <v>168.99540000000002</v>
      </c>
    </row>
    <row r="231" spans="1:10" x14ac:dyDescent="0.3">
      <c r="A231" s="20">
        <v>45918</v>
      </c>
      <c r="B231" s="25">
        <v>171.4</v>
      </c>
      <c r="C231" s="36">
        <f t="shared" si="59"/>
        <v>17.14</v>
      </c>
      <c r="D231" s="26">
        <v>3.99</v>
      </c>
      <c r="E231" s="27">
        <f t="shared" si="60"/>
        <v>68.388600000000011</v>
      </c>
      <c r="F231" s="28">
        <f t="shared" si="61"/>
        <v>22.282</v>
      </c>
      <c r="G231" s="26">
        <v>113.69</v>
      </c>
      <c r="H231" s="26">
        <v>141.75</v>
      </c>
      <c r="I231" s="29">
        <f t="shared" si="62"/>
        <v>90.670600000000007</v>
      </c>
      <c r="J231" s="37">
        <f t="shared" si="30"/>
        <v>164.76939999999999</v>
      </c>
    </row>
    <row r="232" spans="1:10" x14ac:dyDescent="0.3">
      <c r="A232" s="20">
        <v>45919</v>
      </c>
      <c r="B232" s="25">
        <v>173.1</v>
      </c>
      <c r="C232" s="36">
        <f t="shared" si="59"/>
        <v>17.309999999999999</v>
      </c>
      <c r="D232" s="26">
        <v>3.79</v>
      </c>
      <c r="E232" s="27">
        <f t="shared" si="60"/>
        <v>65.604900000000001</v>
      </c>
      <c r="F232" s="28">
        <f t="shared" si="61"/>
        <v>22.503</v>
      </c>
      <c r="G232" s="26">
        <v>141.66999999999999</v>
      </c>
      <c r="H232" s="26">
        <v>149.82</v>
      </c>
      <c r="I232" s="29">
        <f t="shared" si="62"/>
        <v>88.107900000000001</v>
      </c>
      <c r="J232" s="37">
        <f t="shared" si="30"/>
        <v>203.38210000000001</v>
      </c>
    </row>
    <row r="233" spans="1:10" x14ac:dyDescent="0.3">
      <c r="A233" s="20">
        <v>45920</v>
      </c>
      <c r="B233" s="25"/>
      <c r="C233" s="36"/>
      <c r="D233" s="26"/>
      <c r="E233" s="27">
        <f t="shared" si="60"/>
        <v>0</v>
      </c>
      <c r="F233" s="28">
        <f t="shared" si="61"/>
        <v>0</v>
      </c>
      <c r="G233" s="26"/>
      <c r="H233" s="26"/>
      <c r="I233" s="29">
        <f t="shared" si="62"/>
        <v>0</v>
      </c>
      <c r="J233" s="37">
        <f t="shared" si="30"/>
        <v>0</v>
      </c>
    </row>
    <row r="234" spans="1:10" x14ac:dyDescent="0.3">
      <c r="A234" s="20">
        <v>45921</v>
      </c>
      <c r="B234" s="25"/>
      <c r="C234" s="36"/>
      <c r="D234" s="26"/>
      <c r="E234" s="27">
        <f t="shared" si="60"/>
        <v>0</v>
      </c>
      <c r="F234" s="28">
        <f t="shared" si="61"/>
        <v>0</v>
      </c>
      <c r="G234" s="26"/>
      <c r="H234" s="26"/>
      <c r="I234" s="29">
        <f t="shared" si="62"/>
        <v>0</v>
      </c>
      <c r="J234" s="37">
        <f t="shared" si="30"/>
        <v>0</v>
      </c>
    </row>
    <row r="235" spans="1:10" x14ac:dyDescent="0.3">
      <c r="A235" s="20">
        <v>45922</v>
      </c>
      <c r="B235" s="25"/>
      <c r="C235" s="36"/>
      <c r="D235" s="26"/>
      <c r="E235" s="27">
        <f t="shared" si="60"/>
        <v>0</v>
      </c>
      <c r="F235" s="28">
        <f t="shared" si="61"/>
        <v>0</v>
      </c>
      <c r="G235" s="26"/>
      <c r="H235" s="26"/>
      <c r="I235" s="29">
        <f t="shared" si="62"/>
        <v>0</v>
      </c>
      <c r="J235" s="37">
        <f t="shared" si="30"/>
        <v>0</v>
      </c>
    </row>
    <row r="236" spans="1:10" x14ac:dyDescent="0.3">
      <c r="A236" s="20">
        <v>45923</v>
      </c>
      <c r="B236" s="25">
        <v>193.3</v>
      </c>
      <c r="C236" s="36">
        <f t="shared" si="59"/>
        <v>19.330000000000002</v>
      </c>
      <c r="D236" s="26">
        <v>3.89</v>
      </c>
      <c r="E236" s="27">
        <f t="shared" si="60"/>
        <v>75.193700000000007</v>
      </c>
      <c r="F236" s="28">
        <f t="shared" si="61"/>
        <v>25.129000000000001</v>
      </c>
      <c r="G236" s="26">
        <v>218.79</v>
      </c>
      <c r="H236" s="26">
        <v>69.099999999999994</v>
      </c>
      <c r="I236" s="29">
        <f t="shared" si="62"/>
        <v>100.32270000000001</v>
      </c>
      <c r="J236" s="37">
        <f t="shared" si="30"/>
        <v>187.56729999999999</v>
      </c>
    </row>
    <row r="237" spans="1:10" x14ac:dyDescent="0.3">
      <c r="A237" s="20">
        <v>45924</v>
      </c>
      <c r="B237" s="25">
        <v>189.3</v>
      </c>
      <c r="C237" s="36">
        <f>B237/10</f>
        <v>18.93</v>
      </c>
      <c r="D237" s="26">
        <v>3.89</v>
      </c>
      <c r="E237" s="27">
        <f>C237*D237</f>
        <v>73.637699999999995</v>
      </c>
      <c r="F237" s="28">
        <f>B237*0.13</f>
        <v>24.609000000000002</v>
      </c>
      <c r="G237" s="26">
        <v>41.84</v>
      </c>
      <c r="H237" s="26">
        <v>268.89</v>
      </c>
      <c r="I237" s="29">
        <f>E237+F237</f>
        <v>98.246700000000004</v>
      </c>
      <c r="J237" s="37">
        <f t="shared" si="30"/>
        <v>212.48330000000001</v>
      </c>
    </row>
    <row r="238" spans="1:10" x14ac:dyDescent="0.3">
      <c r="A238" s="20">
        <v>45925</v>
      </c>
      <c r="B238" s="25">
        <v>111</v>
      </c>
      <c r="C238" s="36">
        <f>B238/10</f>
        <v>11.1</v>
      </c>
      <c r="D238" s="26">
        <v>3.89</v>
      </c>
      <c r="E238" s="27">
        <f>C238*D238</f>
        <v>43.179000000000002</v>
      </c>
      <c r="F238" s="28">
        <f>B238*0.13</f>
        <v>14.43</v>
      </c>
      <c r="G238" s="26">
        <v>39.04</v>
      </c>
      <c r="H238" s="26">
        <v>167.08</v>
      </c>
      <c r="I238" s="29">
        <f>E238+F238</f>
        <v>57.609000000000002</v>
      </c>
      <c r="J238" s="37">
        <f t="shared" si="30"/>
        <v>148.511</v>
      </c>
    </row>
    <row r="239" spans="1:10" x14ac:dyDescent="0.3">
      <c r="A239" s="20">
        <v>45926</v>
      </c>
      <c r="B239" s="1">
        <v>184</v>
      </c>
      <c r="C239" s="3">
        <f>B239/10</f>
        <v>18.399999999999999</v>
      </c>
      <c r="D239" s="4">
        <v>3.89</v>
      </c>
      <c r="E239" s="5">
        <f>C239*D239</f>
        <v>71.575999999999993</v>
      </c>
      <c r="F239" s="6">
        <f>B239*0.13</f>
        <v>23.92</v>
      </c>
      <c r="G239" s="4">
        <v>82.62</v>
      </c>
      <c r="H239" s="4">
        <v>194.7</v>
      </c>
      <c r="I239" s="7">
        <f>E239+F239</f>
        <v>95.495999999999995</v>
      </c>
      <c r="J239" s="37">
        <f t="shared" ref="J239:J302" si="63">G239+H239-I239</f>
        <v>181.82400000000001</v>
      </c>
    </row>
    <row r="240" spans="1:10" x14ac:dyDescent="0.3">
      <c r="A240" s="20">
        <v>45927</v>
      </c>
      <c r="B240" s="25"/>
      <c r="C240" s="36"/>
      <c r="D240" s="26"/>
      <c r="E240" s="27">
        <f>C240*D240</f>
        <v>0</v>
      </c>
      <c r="F240" s="28">
        <f>B240*0.13</f>
        <v>0</v>
      </c>
      <c r="G240" s="26"/>
      <c r="H240" s="26"/>
      <c r="I240" s="29">
        <f>E240+F240</f>
        <v>0</v>
      </c>
      <c r="J240" s="37">
        <f t="shared" si="63"/>
        <v>0</v>
      </c>
    </row>
    <row r="241" spans="1:10" x14ac:dyDescent="0.3">
      <c r="A241" s="20">
        <v>45928</v>
      </c>
      <c r="B241" s="1"/>
      <c r="C241" s="3"/>
      <c r="D241" s="4"/>
      <c r="E241" s="5">
        <f t="shared" ref="E241:E242" si="64">C241*D241</f>
        <v>0</v>
      </c>
      <c r="F241" s="6">
        <f t="shared" ref="F241:F242" si="65">B241*0.13</f>
        <v>0</v>
      </c>
      <c r="G241" s="4"/>
      <c r="H241" s="4"/>
      <c r="I241" s="7">
        <f t="shared" ref="I241:I242" si="66">E241+F241</f>
        <v>0</v>
      </c>
      <c r="J241" s="37">
        <f t="shared" si="63"/>
        <v>0</v>
      </c>
    </row>
    <row r="242" spans="1:10" x14ac:dyDescent="0.3">
      <c r="A242" s="20">
        <v>45929</v>
      </c>
      <c r="B242" s="1">
        <v>148.80000000000001</v>
      </c>
      <c r="C242" s="3">
        <f t="shared" ref="C242" si="67">B242/10</f>
        <v>14.88</v>
      </c>
      <c r="D242" s="4">
        <v>3.89</v>
      </c>
      <c r="E242" s="5">
        <f t="shared" si="64"/>
        <v>57.883200000000002</v>
      </c>
      <c r="F242" s="6">
        <f t="shared" si="65"/>
        <v>19.344000000000001</v>
      </c>
      <c r="G242" s="4">
        <v>77.239999999999995</v>
      </c>
      <c r="H242" s="4">
        <v>169.17</v>
      </c>
      <c r="I242" s="7">
        <f t="shared" si="66"/>
        <v>77.227200000000011</v>
      </c>
      <c r="J242" s="37">
        <f t="shared" si="63"/>
        <v>169.18279999999996</v>
      </c>
    </row>
    <row r="243" spans="1:10" x14ac:dyDescent="0.3">
      <c r="A243" s="20">
        <v>45930</v>
      </c>
      <c r="B243" s="25">
        <v>161.1</v>
      </c>
      <c r="C243" s="36">
        <f>B243/10</f>
        <v>16.11</v>
      </c>
      <c r="D243" s="26">
        <v>3.89</v>
      </c>
      <c r="E243" s="27">
        <f>C243*D243</f>
        <v>62.667900000000003</v>
      </c>
      <c r="F243" s="28">
        <f>B243*0.13</f>
        <v>20.943000000000001</v>
      </c>
      <c r="G243" s="26">
        <v>28.32</v>
      </c>
      <c r="H243" s="26">
        <v>241.66</v>
      </c>
      <c r="I243" s="29">
        <f>E243+F243</f>
        <v>83.610900000000001</v>
      </c>
      <c r="J243" s="37">
        <f t="shared" si="63"/>
        <v>186.3691</v>
      </c>
    </row>
    <row r="244" spans="1:10" x14ac:dyDescent="0.3">
      <c r="A244" s="20">
        <v>45931</v>
      </c>
      <c r="B244" s="25">
        <v>155.1</v>
      </c>
      <c r="C244" s="36">
        <f>B244/10</f>
        <v>15.51</v>
      </c>
      <c r="D244" s="26">
        <v>3.89</v>
      </c>
      <c r="E244" s="27">
        <f>C244*D244</f>
        <v>60.3339</v>
      </c>
      <c r="F244" s="28">
        <f>B244*0.13</f>
        <v>20.163</v>
      </c>
      <c r="G244" s="26">
        <v>152</v>
      </c>
      <c r="H244" s="26">
        <v>83.68</v>
      </c>
      <c r="I244" s="29">
        <f>E244+F244</f>
        <v>80.496899999999997</v>
      </c>
      <c r="J244" s="37">
        <f t="shared" si="63"/>
        <v>155.18310000000002</v>
      </c>
    </row>
    <row r="245" spans="1:10" x14ac:dyDescent="0.3">
      <c r="A245" s="20">
        <v>45932</v>
      </c>
      <c r="B245" s="25">
        <v>140</v>
      </c>
      <c r="C245" s="36">
        <f>B245/10</f>
        <v>14</v>
      </c>
      <c r="D245" s="26">
        <v>3.89</v>
      </c>
      <c r="E245" s="27">
        <f>C245*D245</f>
        <v>54.46</v>
      </c>
      <c r="F245" s="28">
        <f>B245*0.13</f>
        <v>18.2</v>
      </c>
      <c r="G245" s="26">
        <v>92.75</v>
      </c>
      <c r="H245" s="26">
        <v>130.69999999999999</v>
      </c>
      <c r="I245" s="29">
        <f>E245+F245</f>
        <v>72.66</v>
      </c>
      <c r="J245" s="37">
        <f t="shared" si="63"/>
        <v>150.79</v>
      </c>
    </row>
    <row r="246" spans="1:10" x14ac:dyDescent="0.3">
      <c r="A246" s="20">
        <v>45933</v>
      </c>
      <c r="B246" s="25">
        <v>171.6</v>
      </c>
      <c r="C246" s="36">
        <f>B246/10</f>
        <v>17.16</v>
      </c>
      <c r="D246" s="26">
        <v>3.79</v>
      </c>
      <c r="E246" s="27">
        <f>C246*D246</f>
        <v>65.0364</v>
      </c>
      <c r="F246" s="28">
        <f>B246*0.13</f>
        <v>22.308</v>
      </c>
      <c r="G246" s="26">
        <v>106.14</v>
      </c>
      <c r="H246" s="26">
        <v>170.72</v>
      </c>
      <c r="I246" s="29">
        <f>E246+F246</f>
        <v>87.344400000000007</v>
      </c>
      <c r="J246" s="37">
        <f t="shared" si="63"/>
        <v>189.51560000000001</v>
      </c>
    </row>
    <row r="247" spans="1:10" x14ac:dyDescent="0.3">
      <c r="A247" s="20">
        <v>45934</v>
      </c>
      <c r="B247" s="25"/>
      <c r="C247" s="36"/>
      <c r="D247" s="26"/>
      <c r="E247" s="27">
        <f>C247*D247</f>
        <v>0</v>
      </c>
      <c r="F247" s="28">
        <f>B247*0.13</f>
        <v>0</v>
      </c>
      <c r="G247" s="26"/>
      <c r="H247" s="26"/>
      <c r="I247" s="29">
        <f>E247+F247</f>
        <v>0</v>
      </c>
      <c r="J247" s="37">
        <f t="shared" si="63"/>
        <v>0</v>
      </c>
    </row>
    <row r="248" spans="1:10" x14ac:dyDescent="0.3">
      <c r="A248" s="20">
        <v>45935</v>
      </c>
      <c r="B248" s="1"/>
      <c r="C248" s="3"/>
      <c r="D248" s="4"/>
      <c r="E248" s="5">
        <f t="shared" ref="E248:E249" si="68">C248*D248</f>
        <v>0</v>
      </c>
      <c r="F248" s="6">
        <f t="shared" ref="F248:F249" si="69">B248*0.13</f>
        <v>0</v>
      </c>
      <c r="G248" s="4"/>
      <c r="H248" s="4"/>
      <c r="I248" s="7">
        <f t="shared" ref="I248:I249" si="70">E248+F248</f>
        <v>0</v>
      </c>
      <c r="J248" s="37">
        <f t="shared" si="63"/>
        <v>0</v>
      </c>
    </row>
    <row r="249" spans="1:10" x14ac:dyDescent="0.3">
      <c r="A249" s="20">
        <v>45936</v>
      </c>
      <c r="B249" s="1">
        <v>175</v>
      </c>
      <c r="C249" s="3">
        <f t="shared" ref="C249" si="71">B249/10</f>
        <v>17.5</v>
      </c>
      <c r="D249" s="4">
        <v>3.99</v>
      </c>
      <c r="E249" s="5">
        <f t="shared" si="68"/>
        <v>69.825000000000003</v>
      </c>
      <c r="F249" s="6">
        <f t="shared" si="69"/>
        <v>22.75</v>
      </c>
      <c r="G249" s="4">
        <v>97.5</v>
      </c>
      <c r="H249" s="4">
        <v>201.34</v>
      </c>
      <c r="I249" s="7">
        <f t="shared" si="70"/>
        <v>92.575000000000003</v>
      </c>
      <c r="J249" s="37">
        <f t="shared" si="63"/>
        <v>206.26500000000004</v>
      </c>
    </row>
    <row r="250" spans="1:10" x14ac:dyDescent="0.3">
      <c r="A250" s="20">
        <v>45937</v>
      </c>
      <c r="B250" s="25">
        <v>166.8</v>
      </c>
      <c r="C250" s="36">
        <f>B250/10</f>
        <v>16.68</v>
      </c>
      <c r="D250" s="26">
        <v>3.99</v>
      </c>
      <c r="E250" s="27">
        <f>C250*D250</f>
        <v>66.553200000000004</v>
      </c>
      <c r="F250" s="28">
        <f>B250*0.13</f>
        <v>21.684000000000001</v>
      </c>
      <c r="G250" s="26">
        <v>170.3</v>
      </c>
      <c r="H250" s="26">
        <v>86.5</v>
      </c>
      <c r="I250" s="29">
        <f>E250+F250</f>
        <v>88.237200000000001</v>
      </c>
      <c r="J250" s="37">
        <f t="shared" si="63"/>
        <v>168.56280000000001</v>
      </c>
    </row>
    <row r="251" spans="1:10" x14ac:dyDescent="0.3">
      <c r="A251" s="20">
        <v>45938</v>
      </c>
      <c r="B251" s="1">
        <v>185</v>
      </c>
      <c r="C251" s="3">
        <f>B251/10</f>
        <v>18.5</v>
      </c>
      <c r="D251" s="4">
        <v>3.79</v>
      </c>
      <c r="E251" s="5">
        <f>C251*D251</f>
        <v>70.114999999999995</v>
      </c>
      <c r="F251" s="6">
        <f>B251*0.13</f>
        <v>24.05</v>
      </c>
      <c r="G251" s="4">
        <v>113.88</v>
      </c>
      <c r="H251" s="4">
        <v>193.93</v>
      </c>
      <c r="I251" s="7">
        <f>E251+F251</f>
        <v>94.164999999999992</v>
      </c>
      <c r="J251" s="37">
        <f t="shared" si="63"/>
        <v>213.64500000000001</v>
      </c>
    </row>
    <row r="252" spans="1:10" x14ac:dyDescent="0.3">
      <c r="A252" s="20">
        <v>45939</v>
      </c>
      <c r="B252" s="25">
        <v>166.7</v>
      </c>
      <c r="C252" s="36">
        <f>B252/10</f>
        <v>16.669999999999998</v>
      </c>
      <c r="D252" s="26">
        <v>3.99</v>
      </c>
      <c r="E252" s="27">
        <f>C252*D252</f>
        <v>66.513300000000001</v>
      </c>
      <c r="F252" s="28">
        <f>B252*0.13</f>
        <v>21.670999999999999</v>
      </c>
      <c r="G252" s="26">
        <v>38.049999999999997</v>
      </c>
      <c r="H252" s="26">
        <v>236.73</v>
      </c>
      <c r="I252" s="29">
        <f>E252+F252</f>
        <v>88.184300000000007</v>
      </c>
      <c r="J252" s="37">
        <f t="shared" si="63"/>
        <v>186.59569999999997</v>
      </c>
    </row>
    <row r="253" spans="1:10" x14ac:dyDescent="0.3">
      <c r="A253" s="20">
        <v>45940</v>
      </c>
      <c r="B253" s="25">
        <v>241</v>
      </c>
      <c r="C253" s="36">
        <f>B253/10</f>
        <v>24.1</v>
      </c>
      <c r="D253" s="26">
        <v>3.79</v>
      </c>
      <c r="E253" s="27">
        <f>C253*D253</f>
        <v>91.339000000000013</v>
      </c>
      <c r="F253" s="28">
        <f>B253*0.13</f>
        <v>31.330000000000002</v>
      </c>
      <c r="G253" s="26">
        <v>194.6</v>
      </c>
      <c r="H253" s="26">
        <v>226.59</v>
      </c>
      <c r="I253" s="29">
        <f>E253+F253</f>
        <v>122.66900000000001</v>
      </c>
      <c r="J253" s="37">
        <f t="shared" si="63"/>
        <v>298.52099999999996</v>
      </c>
    </row>
    <row r="254" spans="1:10" x14ac:dyDescent="0.3">
      <c r="A254" s="20">
        <v>45941</v>
      </c>
      <c r="B254" s="25"/>
      <c r="C254" s="36"/>
      <c r="D254" s="26"/>
      <c r="E254" s="27">
        <f>C254*D254</f>
        <v>0</v>
      </c>
      <c r="F254" s="28">
        <f>B254*0.13</f>
        <v>0</v>
      </c>
      <c r="G254" s="26"/>
      <c r="H254" s="26"/>
      <c r="I254" s="29">
        <f>E254+F254</f>
        <v>0</v>
      </c>
      <c r="J254" s="37">
        <f t="shared" si="63"/>
        <v>0</v>
      </c>
    </row>
    <row r="255" spans="1:10" x14ac:dyDescent="0.3">
      <c r="A255" s="20">
        <v>45942</v>
      </c>
      <c r="B255" s="1"/>
      <c r="C255" s="3"/>
      <c r="D255" s="4"/>
      <c r="E255" s="5">
        <f t="shared" ref="E255:E256" si="72">C255*D255</f>
        <v>0</v>
      </c>
      <c r="F255" s="6">
        <f t="shared" ref="F255:F256" si="73">B255*0.13</f>
        <v>0</v>
      </c>
      <c r="G255" s="4"/>
      <c r="H255" s="4"/>
      <c r="I255" s="7">
        <f t="shared" ref="I255:I256" si="74">E255+F255</f>
        <v>0</v>
      </c>
      <c r="J255" s="37">
        <f t="shared" si="63"/>
        <v>0</v>
      </c>
    </row>
    <row r="256" spans="1:10" x14ac:dyDescent="0.3">
      <c r="A256" s="20">
        <v>45943</v>
      </c>
      <c r="B256" s="1">
        <v>228</v>
      </c>
      <c r="C256" s="3">
        <f t="shared" ref="C256" si="75">B256/10</f>
        <v>22.8</v>
      </c>
      <c r="D256" s="4">
        <v>3.99</v>
      </c>
      <c r="E256" s="5">
        <f t="shared" si="72"/>
        <v>90.972000000000008</v>
      </c>
      <c r="F256" s="6">
        <f t="shared" si="73"/>
        <v>29.64</v>
      </c>
      <c r="G256" s="4">
        <v>102.67</v>
      </c>
      <c r="H256" s="4">
        <v>231.91</v>
      </c>
      <c r="I256" s="7">
        <f t="shared" si="74"/>
        <v>120.61200000000001</v>
      </c>
      <c r="J256" s="37">
        <f t="shared" si="63"/>
        <v>213.96799999999996</v>
      </c>
    </row>
    <row r="257" spans="1:10" x14ac:dyDescent="0.3">
      <c r="A257" s="20">
        <v>45944</v>
      </c>
      <c r="B257" s="25">
        <v>182.1</v>
      </c>
      <c r="C257" s="36">
        <f>B257/10</f>
        <v>18.21</v>
      </c>
      <c r="D257" s="26">
        <v>3.99</v>
      </c>
      <c r="E257" s="27">
        <f>C257*D257</f>
        <v>72.657900000000012</v>
      </c>
      <c r="F257" s="28">
        <f>B257*0.13</f>
        <v>23.673000000000002</v>
      </c>
      <c r="G257" s="26">
        <v>135.63</v>
      </c>
      <c r="H257" s="26">
        <v>134.62</v>
      </c>
      <c r="I257" s="29">
        <f>E257+F257</f>
        <v>96.330900000000014</v>
      </c>
      <c r="J257" s="37">
        <f t="shared" si="63"/>
        <v>173.91909999999999</v>
      </c>
    </row>
    <row r="258" spans="1:10" x14ac:dyDescent="0.3">
      <c r="A258" s="20">
        <v>45945</v>
      </c>
      <c r="B258" s="25"/>
      <c r="C258" s="36"/>
      <c r="D258" s="26"/>
      <c r="E258" s="27">
        <f>C258*D258</f>
        <v>0</v>
      </c>
      <c r="F258" s="28">
        <f>B258*0.13</f>
        <v>0</v>
      </c>
      <c r="G258" s="26"/>
      <c r="H258" s="26"/>
      <c r="I258" s="29">
        <f>E258+F258</f>
        <v>0</v>
      </c>
      <c r="J258" s="37">
        <f t="shared" si="63"/>
        <v>0</v>
      </c>
    </row>
    <row r="259" spans="1:10" x14ac:dyDescent="0.3">
      <c r="A259" s="20">
        <v>45946</v>
      </c>
      <c r="B259" s="1">
        <v>167.2</v>
      </c>
      <c r="C259" s="3">
        <f>B259/10</f>
        <v>16.72</v>
      </c>
      <c r="D259" s="4">
        <v>3.99</v>
      </c>
      <c r="E259" s="5">
        <f>C259*D259</f>
        <v>66.712800000000001</v>
      </c>
      <c r="F259" s="6">
        <f>B259*0.13</f>
        <v>21.736000000000001</v>
      </c>
      <c r="G259" s="4">
        <v>36.590000000000003</v>
      </c>
      <c r="H259" s="4">
        <v>216.7</v>
      </c>
      <c r="I259" s="7">
        <f>E259+F259</f>
        <v>88.448800000000006</v>
      </c>
      <c r="J259" s="37">
        <f t="shared" si="63"/>
        <v>164.84119999999999</v>
      </c>
    </row>
    <row r="260" spans="1:10" x14ac:dyDescent="0.3">
      <c r="A260" s="20">
        <v>45947</v>
      </c>
      <c r="B260" s="25">
        <v>192</v>
      </c>
      <c r="C260" s="36">
        <f>B260/10</f>
        <v>19.2</v>
      </c>
      <c r="D260" s="26">
        <v>3.79</v>
      </c>
      <c r="E260" s="27">
        <f>C260*D260</f>
        <v>72.768000000000001</v>
      </c>
      <c r="F260" s="28">
        <f>B260*0.13</f>
        <v>24.96</v>
      </c>
      <c r="G260" s="26">
        <v>206.9</v>
      </c>
      <c r="H260" s="26">
        <v>43.23</v>
      </c>
      <c r="I260" s="29">
        <f>E260+F260</f>
        <v>97.728000000000009</v>
      </c>
      <c r="J260" s="37">
        <f t="shared" si="63"/>
        <v>152.40199999999999</v>
      </c>
    </row>
    <row r="261" spans="1:10" x14ac:dyDescent="0.3">
      <c r="A261" s="20">
        <v>45948</v>
      </c>
      <c r="B261" s="25"/>
      <c r="C261" s="36"/>
      <c r="D261" s="26"/>
      <c r="E261" s="27">
        <f>C261*D261</f>
        <v>0</v>
      </c>
      <c r="F261" s="28">
        <f>B261*0.13</f>
        <v>0</v>
      </c>
      <c r="G261" s="26"/>
      <c r="H261" s="26"/>
      <c r="I261" s="29">
        <f>E261+F261</f>
        <v>0</v>
      </c>
      <c r="J261" s="37">
        <f t="shared" si="63"/>
        <v>0</v>
      </c>
    </row>
    <row r="262" spans="1:10" x14ac:dyDescent="0.3">
      <c r="A262" s="20">
        <v>45949</v>
      </c>
      <c r="B262" s="1"/>
      <c r="C262" s="3"/>
      <c r="D262" s="4"/>
      <c r="E262" s="5">
        <f t="shared" ref="E262:E263" si="76">C262*D262</f>
        <v>0</v>
      </c>
      <c r="F262" s="6">
        <f t="shared" ref="F262:F263" si="77">B262*0.13</f>
        <v>0</v>
      </c>
      <c r="G262" s="4"/>
      <c r="H262" s="4"/>
      <c r="I262" s="7">
        <f t="shared" ref="I262:I263" si="78">E262+F262</f>
        <v>0</v>
      </c>
      <c r="J262" s="37">
        <f t="shared" si="63"/>
        <v>0</v>
      </c>
    </row>
    <row r="263" spans="1:10" x14ac:dyDescent="0.3">
      <c r="A263" s="20">
        <v>45950</v>
      </c>
      <c r="B263" s="1">
        <v>171.9</v>
      </c>
      <c r="C263" s="3">
        <f t="shared" ref="C263" si="79">B263/10</f>
        <v>17.190000000000001</v>
      </c>
      <c r="D263" s="4">
        <v>3.99</v>
      </c>
      <c r="E263" s="5">
        <f t="shared" si="76"/>
        <v>68.588100000000011</v>
      </c>
      <c r="F263" s="6">
        <f t="shared" si="77"/>
        <v>22.347000000000001</v>
      </c>
      <c r="G263" s="4">
        <v>87.42</v>
      </c>
      <c r="H263" s="4">
        <v>161.96</v>
      </c>
      <c r="I263" s="7">
        <f t="shared" si="78"/>
        <v>90.935100000000006</v>
      </c>
      <c r="J263" s="37">
        <f t="shared" si="63"/>
        <v>158.44489999999999</v>
      </c>
    </row>
    <row r="264" spans="1:10" x14ac:dyDescent="0.3">
      <c r="A264" s="20">
        <v>45951</v>
      </c>
      <c r="B264" s="25"/>
      <c r="C264" s="36"/>
      <c r="D264" s="26"/>
      <c r="E264" s="27">
        <f>C264*D264</f>
        <v>0</v>
      </c>
      <c r="F264" s="28">
        <f>B264*0.13</f>
        <v>0</v>
      </c>
      <c r="G264" s="26"/>
      <c r="H264" s="26"/>
      <c r="I264" s="29">
        <f>E264+F264</f>
        <v>0</v>
      </c>
      <c r="J264" s="37">
        <f t="shared" si="63"/>
        <v>0</v>
      </c>
    </row>
    <row r="265" spans="1:10" x14ac:dyDescent="0.3">
      <c r="A265" s="20">
        <v>45952</v>
      </c>
      <c r="B265" s="1">
        <v>171.7</v>
      </c>
      <c r="C265" s="3">
        <f>B265/10</f>
        <v>17.169999999999998</v>
      </c>
      <c r="D265" s="4">
        <v>3.79</v>
      </c>
      <c r="E265" s="5">
        <f>C265*D265</f>
        <v>65.074299999999994</v>
      </c>
      <c r="F265" s="6">
        <f>B265*0.13</f>
        <v>22.320999999999998</v>
      </c>
      <c r="G265" s="4">
        <v>40.840000000000003</v>
      </c>
      <c r="H265" s="4">
        <v>215</v>
      </c>
      <c r="I265" s="7">
        <f>E265+F265</f>
        <v>87.395299999999992</v>
      </c>
      <c r="J265" s="37">
        <f t="shared" si="63"/>
        <v>168.44470000000001</v>
      </c>
    </row>
    <row r="266" spans="1:10" x14ac:dyDescent="0.3">
      <c r="A266" s="20">
        <v>45953</v>
      </c>
      <c r="B266" s="25">
        <v>205</v>
      </c>
      <c r="C266" s="36">
        <f>B266/10</f>
        <v>20.5</v>
      </c>
      <c r="D266" s="26">
        <v>3.79</v>
      </c>
      <c r="E266" s="27">
        <f>C266*D266</f>
        <v>77.695000000000007</v>
      </c>
      <c r="F266" s="28">
        <f>B266*0.13</f>
        <v>26.650000000000002</v>
      </c>
      <c r="G266" s="26">
        <v>205.21</v>
      </c>
      <c r="H266" s="26">
        <v>86.66</v>
      </c>
      <c r="I266" s="29">
        <f>E266+F266</f>
        <v>104.34500000000001</v>
      </c>
      <c r="J266" s="37">
        <f t="shared" si="63"/>
        <v>187.52499999999998</v>
      </c>
    </row>
    <row r="267" spans="1:10" x14ac:dyDescent="0.3">
      <c r="A267" s="20">
        <v>45954</v>
      </c>
      <c r="B267" s="25">
        <v>195</v>
      </c>
      <c r="C267" s="36">
        <f>B267/10</f>
        <v>19.5</v>
      </c>
      <c r="D267" s="26">
        <v>3.79</v>
      </c>
      <c r="E267" s="27">
        <f>C267*D267</f>
        <v>73.905000000000001</v>
      </c>
      <c r="F267" s="28">
        <f>B267*0.13</f>
        <v>25.35</v>
      </c>
      <c r="G267" s="26">
        <v>183.93</v>
      </c>
      <c r="H267" s="26">
        <v>91.52</v>
      </c>
      <c r="I267" s="29">
        <f>E267+F267</f>
        <v>99.254999999999995</v>
      </c>
      <c r="J267" s="37">
        <f t="shared" si="63"/>
        <v>176.19499999999999</v>
      </c>
    </row>
    <row r="268" spans="1:10" x14ac:dyDescent="0.3">
      <c r="A268" s="20">
        <v>45955</v>
      </c>
      <c r="B268" s="25"/>
      <c r="C268" s="36"/>
      <c r="D268" s="26"/>
      <c r="E268" s="27">
        <f>C268*D268</f>
        <v>0</v>
      </c>
      <c r="F268" s="28">
        <f>B268*0.13</f>
        <v>0</v>
      </c>
      <c r="G268" s="26"/>
      <c r="H268" s="26"/>
      <c r="I268" s="29">
        <f>E268+F268</f>
        <v>0</v>
      </c>
      <c r="J268" s="37">
        <f t="shared" si="63"/>
        <v>0</v>
      </c>
    </row>
    <row r="269" spans="1:10" x14ac:dyDescent="0.3">
      <c r="A269" s="20">
        <v>45956</v>
      </c>
      <c r="B269" s="1"/>
      <c r="C269" s="3"/>
      <c r="D269" s="4"/>
      <c r="E269" s="5">
        <f t="shared" ref="E269:E270" si="80">C269*D269</f>
        <v>0</v>
      </c>
      <c r="F269" s="6">
        <f t="shared" ref="F269:F270" si="81">B269*0.13</f>
        <v>0</v>
      </c>
      <c r="G269" s="4"/>
      <c r="H269" s="4"/>
      <c r="I269" s="7">
        <f t="shared" ref="I269:I270" si="82">E269+F269</f>
        <v>0</v>
      </c>
      <c r="J269" s="37">
        <f t="shared" si="63"/>
        <v>0</v>
      </c>
    </row>
    <row r="270" spans="1:10" x14ac:dyDescent="0.3">
      <c r="A270" s="20">
        <v>45957</v>
      </c>
      <c r="B270" s="1">
        <v>175</v>
      </c>
      <c r="C270" s="3">
        <f t="shared" ref="C270" si="83">B270/10</f>
        <v>17.5</v>
      </c>
      <c r="D270" s="4">
        <v>3.99</v>
      </c>
      <c r="E270" s="5">
        <f t="shared" si="80"/>
        <v>69.825000000000003</v>
      </c>
      <c r="F270" s="6">
        <f t="shared" si="81"/>
        <v>22.75</v>
      </c>
      <c r="G270" s="4">
        <v>84.77</v>
      </c>
      <c r="H270" s="4">
        <v>184.19</v>
      </c>
      <c r="I270" s="7">
        <f t="shared" si="82"/>
        <v>92.575000000000003</v>
      </c>
      <c r="J270" s="37">
        <f t="shared" si="63"/>
        <v>176.38499999999999</v>
      </c>
    </row>
    <row r="271" spans="1:10" x14ac:dyDescent="0.3">
      <c r="A271" s="20">
        <v>45958</v>
      </c>
      <c r="B271" s="1"/>
      <c r="C271" s="3"/>
      <c r="D271" s="4"/>
      <c r="E271" s="5">
        <f t="shared" ref="E271:E273" si="84">C271*D271</f>
        <v>0</v>
      </c>
      <c r="F271" s="6">
        <f t="shared" ref="F271:F273" si="85">B271*0.13</f>
        <v>0</v>
      </c>
      <c r="G271" s="4"/>
      <c r="H271" s="4"/>
      <c r="I271" s="7">
        <f t="shared" ref="I271:I273" si="86">E271+F271</f>
        <v>0</v>
      </c>
      <c r="J271" s="37">
        <f t="shared" si="63"/>
        <v>0</v>
      </c>
    </row>
    <row r="272" spans="1:10" x14ac:dyDescent="0.3">
      <c r="A272" s="20">
        <v>45959</v>
      </c>
      <c r="B272" s="1">
        <v>160</v>
      </c>
      <c r="C272" s="3">
        <f t="shared" ref="C272:C273" si="87">B272/10</f>
        <v>16</v>
      </c>
      <c r="D272" s="4">
        <v>3.99</v>
      </c>
      <c r="E272" s="5">
        <f t="shared" si="84"/>
        <v>63.84</v>
      </c>
      <c r="F272" s="6">
        <f t="shared" si="85"/>
        <v>20.8</v>
      </c>
      <c r="G272" s="43">
        <v>90.69</v>
      </c>
      <c r="H272" s="43">
        <v>171.14</v>
      </c>
      <c r="I272" s="7">
        <f t="shared" si="86"/>
        <v>84.64</v>
      </c>
      <c r="J272" s="37">
        <f t="shared" si="63"/>
        <v>177.19</v>
      </c>
    </row>
    <row r="273" spans="1:10" x14ac:dyDescent="0.3">
      <c r="A273" s="20">
        <v>45960</v>
      </c>
      <c r="B273" s="1">
        <v>159.80000000000001</v>
      </c>
      <c r="C273" s="3">
        <f t="shared" si="87"/>
        <v>15.98</v>
      </c>
      <c r="D273" s="4">
        <v>3.99</v>
      </c>
      <c r="E273" s="5">
        <f t="shared" si="84"/>
        <v>63.760200000000005</v>
      </c>
      <c r="F273" s="6">
        <f t="shared" si="85"/>
        <v>20.774000000000001</v>
      </c>
      <c r="G273" s="43">
        <v>101.56</v>
      </c>
      <c r="H273" s="43">
        <v>134.81</v>
      </c>
      <c r="I273" s="7">
        <f t="shared" si="86"/>
        <v>84.534199999999998</v>
      </c>
      <c r="J273" s="37">
        <f t="shared" si="63"/>
        <v>151.83580000000001</v>
      </c>
    </row>
    <row r="274" spans="1:10" x14ac:dyDescent="0.3">
      <c r="A274" s="20">
        <v>45961</v>
      </c>
      <c r="B274" s="25"/>
      <c r="C274" s="36">
        <f>B274/10</f>
        <v>0</v>
      </c>
      <c r="D274" s="26"/>
      <c r="E274" s="27">
        <f>C274*D274</f>
        <v>0</v>
      </c>
      <c r="F274" s="28">
        <f>B274*0.13</f>
        <v>0</v>
      </c>
      <c r="G274" s="26"/>
      <c r="H274" s="26"/>
      <c r="I274" s="29">
        <f>E274+F274</f>
        <v>0</v>
      </c>
      <c r="J274" s="37">
        <f t="shared" si="63"/>
        <v>0</v>
      </c>
    </row>
    <row r="275" spans="1:10" x14ac:dyDescent="0.3">
      <c r="A275" s="20">
        <v>45962</v>
      </c>
      <c r="B275" s="1"/>
      <c r="C275" s="3"/>
      <c r="D275" s="4"/>
      <c r="E275" s="5">
        <f t="shared" ref="E275:E277" si="88">C275*D275</f>
        <v>0</v>
      </c>
      <c r="F275" s="6">
        <f t="shared" ref="F275:F277" si="89">B275*0.13</f>
        <v>0</v>
      </c>
      <c r="G275" s="4"/>
      <c r="H275" s="4"/>
      <c r="I275" s="7">
        <f t="shared" ref="I275:I277" si="90">E275+F275</f>
        <v>0</v>
      </c>
      <c r="J275" s="37">
        <f t="shared" si="63"/>
        <v>0</v>
      </c>
    </row>
    <row r="276" spans="1:10" x14ac:dyDescent="0.3">
      <c r="A276" s="20">
        <v>45963</v>
      </c>
      <c r="B276" s="1"/>
      <c r="C276" s="3"/>
      <c r="D276" s="4"/>
      <c r="E276" s="5">
        <f t="shared" si="88"/>
        <v>0</v>
      </c>
      <c r="F276" s="6">
        <f t="shared" si="89"/>
        <v>0</v>
      </c>
      <c r="G276" s="4"/>
      <c r="H276" s="4"/>
      <c r="I276" s="7">
        <f t="shared" si="90"/>
        <v>0</v>
      </c>
      <c r="J276" s="37">
        <f t="shared" si="63"/>
        <v>0</v>
      </c>
    </row>
    <row r="277" spans="1:10" x14ac:dyDescent="0.3">
      <c r="A277" s="20">
        <v>45964</v>
      </c>
      <c r="B277" s="1">
        <v>191.7</v>
      </c>
      <c r="C277" s="3">
        <f t="shared" ref="C277" si="91">B277/10</f>
        <v>19.169999999999998</v>
      </c>
      <c r="D277" s="4">
        <v>3.99</v>
      </c>
      <c r="E277" s="5">
        <f t="shared" si="88"/>
        <v>76.488299999999995</v>
      </c>
      <c r="F277" s="6">
        <f t="shared" si="89"/>
        <v>24.920999999999999</v>
      </c>
      <c r="G277" s="4">
        <v>31.47</v>
      </c>
      <c r="H277" s="4">
        <v>345.08</v>
      </c>
      <c r="I277" s="7">
        <f t="shared" si="90"/>
        <v>101.4093</v>
      </c>
      <c r="J277" s="37">
        <f t="shared" si="63"/>
        <v>275.14069999999992</v>
      </c>
    </row>
    <row r="278" spans="1:10" x14ac:dyDescent="0.3">
      <c r="A278" s="20">
        <v>45965</v>
      </c>
      <c r="B278" s="25"/>
      <c r="C278" s="36"/>
      <c r="D278" s="26"/>
      <c r="E278" s="27">
        <f>C278*D278</f>
        <v>0</v>
      </c>
      <c r="F278" s="28">
        <f>B278*0.13</f>
        <v>0</v>
      </c>
      <c r="G278" s="26"/>
      <c r="H278" s="26"/>
      <c r="I278" s="29">
        <f>E278+F278</f>
        <v>0</v>
      </c>
      <c r="J278" s="37">
        <f t="shared" si="63"/>
        <v>0</v>
      </c>
    </row>
    <row r="279" spans="1:10" x14ac:dyDescent="0.3">
      <c r="A279" s="20">
        <v>45966</v>
      </c>
      <c r="B279" s="1">
        <v>140</v>
      </c>
      <c r="C279" s="3">
        <f>B279/10</f>
        <v>14</v>
      </c>
      <c r="D279" s="4">
        <v>3.99</v>
      </c>
      <c r="E279" s="5">
        <f>C279*D279</f>
        <v>55.86</v>
      </c>
      <c r="F279" s="6">
        <f>B279*0.13</f>
        <v>18.2</v>
      </c>
      <c r="G279" s="4">
        <v>44.25</v>
      </c>
      <c r="H279" s="4">
        <v>141.69999999999999</v>
      </c>
      <c r="I279" s="7">
        <f>E279+F279</f>
        <v>74.06</v>
      </c>
      <c r="J279" s="37">
        <f t="shared" si="63"/>
        <v>111.88999999999999</v>
      </c>
    </row>
    <row r="280" spans="1:10" x14ac:dyDescent="0.3">
      <c r="A280" s="20">
        <v>45967</v>
      </c>
      <c r="B280" s="25">
        <v>167</v>
      </c>
      <c r="C280" s="36">
        <f>B280/10</f>
        <v>16.7</v>
      </c>
      <c r="D280" s="26">
        <v>3.99</v>
      </c>
      <c r="E280" s="27">
        <f>C280*D280</f>
        <v>66.632999999999996</v>
      </c>
      <c r="F280" s="28">
        <f>B280*0.13</f>
        <v>21.71</v>
      </c>
      <c r="G280" s="26">
        <v>96.78</v>
      </c>
      <c r="H280" s="26">
        <v>151.97999999999999</v>
      </c>
      <c r="I280" s="29">
        <f>E280+F280</f>
        <v>88.342999999999989</v>
      </c>
      <c r="J280" s="37">
        <f t="shared" si="63"/>
        <v>160.417</v>
      </c>
    </row>
    <row r="281" spans="1:10" x14ac:dyDescent="0.3">
      <c r="A281" s="20">
        <v>45968</v>
      </c>
      <c r="B281" s="25"/>
      <c r="C281" s="36"/>
      <c r="D281" s="26"/>
      <c r="E281" s="27">
        <f>C281*D281</f>
        <v>0</v>
      </c>
      <c r="F281" s="28">
        <f>B281*0.13</f>
        <v>0</v>
      </c>
      <c r="G281" s="26"/>
      <c r="H281" s="26"/>
      <c r="I281" s="29">
        <f>E281+F281</f>
        <v>0</v>
      </c>
      <c r="J281" s="37">
        <f t="shared" si="63"/>
        <v>0</v>
      </c>
    </row>
    <row r="282" spans="1:10" x14ac:dyDescent="0.3">
      <c r="A282" s="20">
        <v>45969</v>
      </c>
      <c r="B282" s="1"/>
      <c r="C282" s="3"/>
      <c r="D282" s="4"/>
      <c r="E282" s="5">
        <f t="shared" ref="E282:E284" si="92">C282*D282</f>
        <v>0</v>
      </c>
      <c r="F282" s="6">
        <f t="shared" ref="F282:F284" si="93">B282*0.13</f>
        <v>0</v>
      </c>
      <c r="G282" s="4"/>
      <c r="H282" s="4"/>
      <c r="I282" s="7">
        <f t="shared" ref="I282:I284" si="94">E282+F282</f>
        <v>0</v>
      </c>
      <c r="J282" s="37">
        <f t="shared" si="63"/>
        <v>0</v>
      </c>
    </row>
    <row r="283" spans="1:10" x14ac:dyDescent="0.3">
      <c r="A283" s="20">
        <v>45970</v>
      </c>
      <c r="B283" s="1"/>
      <c r="C283" s="3"/>
      <c r="D283" s="4"/>
      <c r="E283" s="5">
        <f t="shared" si="92"/>
        <v>0</v>
      </c>
      <c r="F283" s="6">
        <f t="shared" si="93"/>
        <v>0</v>
      </c>
      <c r="G283" s="4"/>
      <c r="H283" s="4"/>
      <c r="I283" s="7">
        <f t="shared" si="94"/>
        <v>0</v>
      </c>
      <c r="J283" s="37">
        <f t="shared" si="63"/>
        <v>0</v>
      </c>
    </row>
    <row r="284" spans="1:10" x14ac:dyDescent="0.3">
      <c r="A284" s="20">
        <v>45971</v>
      </c>
      <c r="B284" s="1">
        <v>171.4</v>
      </c>
      <c r="C284" s="3">
        <f t="shared" ref="C284" si="95">B284/10</f>
        <v>17.14</v>
      </c>
      <c r="D284" s="4">
        <v>4.1900000000000004</v>
      </c>
      <c r="E284" s="5">
        <f t="shared" si="92"/>
        <v>71.816600000000008</v>
      </c>
      <c r="F284" s="6">
        <f t="shared" si="93"/>
        <v>22.282</v>
      </c>
      <c r="G284" s="4">
        <v>68.45</v>
      </c>
      <c r="H284" s="4">
        <v>265.08</v>
      </c>
      <c r="I284" s="7">
        <f t="shared" si="94"/>
        <v>94.098600000000005</v>
      </c>
      <c r="J284" s="37">
        <f t="shared" si="63"/>
        <v>239.43139999999997</v>
      </c>
    </row>
    <row r="285" spans="1:10" x14ac:dyDescent="0.3">
      <c r="A285" s="20">
        <v>45972</v>
      </c>
      <c r="B285" s="25">
        <v>201</v>
      </c>
      <c r="C285" s="36">
        <f>B285/10</f>
        <v>20.100000000000001</v>
      </c>
      <c r="D285" s="26">
        <v>4.1900000000000004</v>
      </c>
      <c r="E285" s="27">
        <f>C285*D285</f>
        <v>84.219000000000008</v>
      </c>
      <c r="F285" s="28">
        <f>B285*0.13</f>
        <v>26.130000000000003</v>
      </c>
      <c r="G285" s="26">
        <v>173.63</v>
      </c>
      <c r="H285" s="26">
        <v>125.96</v>
      </c>
      <c r="I285" s="29">
        <f>E285+F285</f>
        <v>110.34900000000002</v>
      </c>
      <c r="J285" s="37">
        <f t="shared" si="63"/>
        <v>189.24099999999996</v>
      </c>
    </row>
    <row r="286" spans="1:10" x14ac:dyDescent="0.3">
      <c r="A286" s="20">
        <v>45973</v>
      </c>
      <c r="B286" s="25">
        <v>211</v>
      </c>
      <c r="C286" s="36">
        <f>B286/10</f>
        <v>21.1</v>
      </c>
      <c r="D286" s="26">
        <v>3.89</v>
      </c>
      <c r="E286" s="27">
        <f>C286*D286</f>
        <v>82.079000000000008</v>
      </c>
      <c r="F286" s="28">
        <f>B286*0.13</f>
        <v>27.43</v>
      </c>
      <c r="G286" s="26">
        <v>236.78</v>
      </c>
      <c r="H286" s="26">
        <v>28.45</v>
      </c>
      <c r="I286" s="29">
        <f>E286+F286</f>
        <v>109.50900000000001</v>
      </c>
      <c r="J286" s="37">
        <f t="shared" si="63"/>
        <v>155.721</v>
      </c>
    </row>
    <row r="287" spans="1:10" x14ac:dyDescent="0.3">
      <c r="A287" s="20">
        <v>45974</v>
      </c>
      <c r="B287" s="25">
        <v>203</v>
      </c>
      <c r="C287" s="36">
        <f>B287/10</f>
        <v>20.3</v>
      </c>
      <c r="D287" s="26">
        <v>4.1900000000000004</v>
      </c>
      <c r="E287" s="27">
        <f>C287*D287</f>
        <v>85.057000000000016</v>
      </c>
      <c r="F287" s="28">
        <f>B287*0.13</f>
        <v>26.39</v>
      </c>
      <c r="G287" s="26">
        <v>189.83</v>
      </c>
      <c r="H287" s="26">
        <v>77.2</v>
      </c>
      <c r="I287" s="29">
        <f>E287+F287</f>
        <v>111.44700000000002</v>
      </c>
      <c r="J287" s="37">
        <f t="shared" si="63"/>
        <v>155.58300000000003</v>
      </c>
    </row>
    <row r="288" spans="1:10" x14ac:dyDescent="0.3">
      <c r="A288" s="20">
        <v>45975</v>
      </c>
      <c r="B288" s="25">
        <v>190</v>
      </c>
      <c r="C288" s="36">
        <f>B288/10</f>
        <v>19</v>
      </c>
      <c r="D288" s="26"/>
      <c r="E288" s="27">
        <f>C288*D288</f>
        <v>0</v>
      </c>
      <c r="F288" s="28">
        <f>B288*0.13</f>
        <v>24.7</v>
      </c>
      <c r="G288" s="26">
        <v>164.19</v>
      </c>
      <c r="H288" s="26">
        <v>79.25</v>
      </c>
      <c r="I288" s="29">
        <f>E288+F288</f>
        <v>24.7</v>
      </c>
      <c r="J288" s="37">
        <f t="shared" si="63"/>
        <v>218.74</v>
      </c>
    </row>
    <row r="289" spans="1:10" x14ac:dyDescent="0.3">
      <c r="A289" s="20">
        <v>45976</v>
      </c>
      <c r="B289" s="1"/>
      <c r="C289" s="3"/>
      <c r="D289" s="4"/>
      <c r="E289" s="5">
        <f t="shared" ref="E289:E291" si="96">C289*D289</f>
        <v>0</v>
      </c>
      <c r="F289" s="6">
        <f t="shared" ref="F289:F291" si="97">B289*0.13</f>
        <v>0</v>
      </c>
      <c r="G289" s="4"/>
      <c r="H289" s="4"/>
      <c r="I289" s="7">
        <f t="shared" ref="I289:I291" si="98">E289+F289</f>
        <v>0</v>
      </c>
      <c r="J289" s="37">
        <f t="shared" si="63"/>
        <v>0</v>
      </c>
    </row>
    <row r="290" spans="1:10" x14ac:dyDescent="0.3">
      <c r="A290" s="20">
        <v>45977</v>
      </c>
      <c r="B290" s="1"/>
      <c r="C290" s="3"/>
      <c r="D290" s="4"/>
      <c r="E290" s="5">
        <f t="shared" si="96"/>
        <v>0</v>
      </c>
      <c r="F290" s="6">
        <f t="shared" si="97"/>
        <v>0</v>
      </c>
      <c r="G290" s="4"/>
      <c r="H290" s="4"/>
      <c r="I290" s="7">
        <f t="shared" si="98"/>
        <v>0</v>
      </c>
      <c r="J290" s="37">
        <f t="shared" si="63"/>
        <v>0</v>
      </c>
    </row>
    <row r="291" spans="1:10" x14ac:dyDescent="0.3">
      <c r="A291" s="20">
        <v>45978</v>
      </c>
      <c r="B291" s="1">
        <v>170</v>
      </c>
      <c r="C291" s="3">
        <f t="shared" ref="C291" si="99">B291/10</f>
        <v>17</v>
      </c>
      <c r="D291" s="4">
        <v>4.1900000000000004</v>
      </c>
      <c r="E291" s="5">
        <f t="shared" si="96"/>
        <v>71.23</v>
      </c>
      <c r="F291" s="6">
        <f t="shared" si="97"/>
        <v>22.1</v>
      </c>
      <c r="G291" s="4">
        <v>125.43</v>
      </c>
      <c r="H291" s="4">
        <v>149.72999999999999</v>
      </c>
      <c r="I291" s="7">
        <f t="shared" si="98"/>
        <v>93.330000000000013</v>
      </c>
      <c r="J291" s="37">
        <f t="shared" si="63"/>
        <v>181.82999999999996</v>
      </c>
    </row>
    <row r="292" spans="1:10" x14ac:dyDescent="0.3">
      <c r="A292" s="20">
        <v>45979</v>
      </c>
      <c r="B292" s="25">
        <v>198.7</v>
      </c>
      <c r="C292" s="36">
        <f>B292/10</f>
        <v>19.869999999999997</v>
      </c>
      <c r="D292" s="26">
        <v>4.1900000000000004</v>
      </c>
      <c r="E292" s="27">
        <f>C292*D292</f>
        <v>83.255299999999991</v>
      </c>
      <c r="F292" s="28">
        <f>B292*0.13</f>
        <v>25.831</v>
      </c>
      <c r="G292" s="26">
        <v>115.53</v>
      </c>
      <c r="H292" s="26">
        <v>181.6</v>
      </c>
      <c r="I292" s="29">
        <f>E292+F292</f>
        <v>109.08629999999999</v>
      </c>
      <c r="J292" s="37">
        <f t="shared" si="63"/>
        <v>188.0437</v>
      </c>
    </row>
    <row r="293" spans="1:10" x14ac:dyDescent="0.3">
      <c r="A293" s="20">
        <v>45980</v>
      </c>
      <c r="B293" s="25">
        <v>189.6</v>
      </c>
      <c r="C293" s="36">
        <f>B293/10</f>
        <v>18.96</v>
      </c>
      <c r="D293" s="26">
        <v>4.1900000000000004</v>
      </c>
      <c r="E293" s="27">
        <f>C293*D293</f>
        <v>79.442400000000006</v>
      </c>
      <c r="F293" s="28">
        <f>B293*0.13</f>
        <v>24.648</v>
      </c>
      <c r="G293" s="26">
        <v>113.93</v>
      </c>
      <c r="H293" s="26">
        <v>156.4</v>
      </c>
      <c r="I293" s="29">
        <f>E293+F293</f>
        <v>104.0904</v>
      </c>
      <c r="J293" s="37">
        <f t="shared" si="63"/>
        <v>166.23960000000005</v>
      </c>
    </row>
    <row r="294" spans="1:10" x14ac:dyDescent="0.3">
      <c r="A294" s="20">
        <v>45981</v>
      </c>
      <c r="B294" s="1"/>
      <c r="C294" s="3"/>
      <c r="D294" s="4"/>
      <c r="E294" s="5">
        <f t="shared" ref="E294:E295" si="100">C294*D294</f>
        <v>0</v>
      </c>
      <c r="F294" s="6">
        <f t="shared" ref="F294:F295" si="101">B294*0.13</f>
        <v>0</v>
      </c>
      <c r="G294" s="4"/>
      <c r="H294" s="4"/>
      <c r="I294" s="7">
        <f t="shared" ref="I294:I295" si="102">E294+F294</f>
        <v>0</v>
      </c>
      <c r="J294" s="37">
        <f t="shared" si="63"/>
        <v>0</v>
      </c>
    </row>
    <row r="295" spans="1:10" x14ac:dyDescent="0.3">
      <c r="A295" s="20">
        <v>45982</v>
      </c>
      <c r="B295" s="1">
        <v>154.1</v>
      </c>
      <c r="C295" s="3">
        <f t="shared" ref="C295" si="103">B295/10</f>
        <v>15.41</v>
      </c>
      <c r="D295" s="4">
        <v>4.1900000000000004</v>
      </c>
      <c r="E295" s="5">
        <f t="shared" si="100"/>
        <v>64.567900000000009</v>
      </c>
      <c r="F295" s="6">
        <f t="shared" si="101"/>
        <v>20.033000000000001</v>
      </c>
      <c r="G295" s="4">
        <v>90.25</v>
      </c>
      <c r="H295" s="4">
        <v>120.94</v>
      </c>
      <c r="I295" s="7">
        <f t="shared" si="102"/>
        <v>84.60090000000001</v>
      </c>
      <c r="J295" s="37">
        <f t="shared" si="63"/>
        <v>126.58909999999999</v>
      </c>
    </row>
    <row r="296" spans="1:10" x14ac:dyDescent="0.3">
      <c r="A296" s="20">
        <v>45983</v>
      </c>
      <c r="B296" s="25"/>
      <c r="C296" s="36"/>
      <c r="D296" s="26"/>
      <c r="E296" s="27">
        <f>C296*D296</f>
        <v>0</v>
      </c>
      <c r="F296" s="28">
        <f>B296*0.13</f>
        <v>0</v>
      </c>
      <c r="G296" s="26"/>
      <c r="H296" s="26"/>
      <c r="I296" s="29">
        <f>E296+F296</f>
        <v>0</v>
      </c>
      <c r="J296" s="37">
        <f t="shared" si="63"/>
        <v>0</v>
      </c>
    </row>
    <row r="297" spans="1:10" x14ac:dyDescent="0.3">
      <c r="A297" s="20">
        <v>45984</v>
      </c>
      <c r="B297" s="1"/>
      <c r="C297" s="3"/>
      <c r="D297" s="4"/>
      <c r="E297" s="5">
        <f t="shared" ref="E297:E298" si="104">C297*D297</f>
        <v>0</v>
      </c>
      <c r="F297" s="6">
        <f t="shared" ref="F297:F298" si="105">B297*0.13</f>
        <v>0</v>
      </c>
      <c r="G297" s="4"/>
      <c r="H297" s="4"/>
      <c r="I297" s="7">
        <f t="shared" ref="I297:I298" si="106">E297+F297</f>
        <v>0</v>
      </c>
      <c r="J297" s="37">
        <f t="shared" si="63"/>
        <v>0</v>
      </c>
    </row>
    <row r="298" spans="1:10" x14ac:dyDescent="0.3">
      <c r="A298" s="20">
        <v>45985</v>
      </c>
      <c r="B298" s="1">
        <v>204.7</v>
      </c>
      <c r="C298" s="3">
        <f t="shared" ref="C298" si="107">B298/10</f>
        <v>20.47</v>
      </c>
      <c r="D298" s="4">
        <v>3.89</v>
      </c>
      <c r="E298" s="5">
        <f t="shared" si="104"/>
        <v>79.628299999999996</v>
      </c>
      <c r="F298" s="6">
        <f t="shared" si="105"/>
        <v>26.611000000000001</v>
      </c>
      <c r="G298" s="4">
        <v>7.28</v>
      </c>
      <c r="H298" s="4">
        <v>388.18</v>
      </c>
      <c r="I298" s="7">
        <f t="shared" si="106"/>
        <v>106.2393</v>
      </c>
      <c r="J298" s="37">
        <f t="shared" si="63"/>
        <v>289.22069999999997</v>
      </c>
    </row>
    <row r="299" spans="1:10" x14ac:dyDescent="0.3">
      <c r="A299" s="20">
        <v>45986</v>
      </c>
      <c r="B299" s="25">
        <v>165</v>
      </c>
      <c r="C299" s="36">
        <f>B299/10</f>
        <v>16.5</v>
      </c>
      <c r="D299" s="26">
        <v>4.1900000000000004</v>
      </c>
      <c r="E299" s="27">
        <f>C299*D299</f>
        <v>69.135000000000005</v>
      </c>
      <c r="F299" s="28">
        <f>B299*0.13</f>
        <v>21.45</v>
      </c>
      <c r="G299" s="26">
        <v>68.63</v>
      </c>
      <c r="H299" s="26">
        <v>155.9</v>
      </c>
      <c r="I299" s="29">
        <f>E299+F299</f>
        <v>90.585000000000008</v>
      </c>
      <c r="J299" s="37">
        <f t="shared" si="63"/>
        <v>133.94499999999999</v>
      </c>
    </row>
    <row r="300" spans="1:10" x14ac:dyDescent="0.3">
      <c r="A300" s="20">
        <v>45987</v>
      </c>
      <c r="B300" s="1">
        <v>181.1</v>
      </c>
      <c r="C300" s="3">
        <f>B300/10</f>
        <v>18.11</v>
      </c>
      <c r="D300" s="4">
        <v>4.1900000000000004</v>
      </c>
      <c r="E300" s="5">
        <f>C300*D300</f>
        <v>75.880900000000011</v>
      </c>
      <c r="F300" s="6">
        <f>B300*0.13</f>
        <v>23.542999999999999</v>
      </c>
      <c r="G300" s="4">
        <v>52.93</v>
      </c>
      <c r="H300" s="4">
        <v>226.43</v>
      </c>
      <c r="I300" s="7">
        <f>E300+F300</f>
        <v>99.423900000000003</v>
      </c>
      <c r="J300" s="37">
        <f t="shared" si="63"/>
        <v>179.93610000000001</v>
      </c>
    </row>
    <row r="301" spans="1:10" x14ac:dyDescent="0.3">
      <c r="A301" s="20">
        <v>45988</v>
      </c>
      <c r="B301" s="25">
        <v>189.9</v>
      </c>
      <c r="C301" s="36">
        <f>B301/10</f>
        <v>18.990000000000002</v>
      </c>
      <c r="D301" s="26">
        <v>4.1900000000000004</v>
      </c>
      <c r="E301" s="27">
        <f>C301*D301</f>
        <v>79.568100000000015</v>
      </c>
      <c r="F301" s="28">
        <f>B301*0.13</f>
        <v>24.687000000000001</v>
      </c>
      <c r="G301" s="26">
        <v>194.28</v>
      </c>
      <c r="H301" s="26">
        <v>79.400000000000006</v>
      </c>
      <c r="I301" s="29">
        <f>E301+F301</f>
        <v>104.25510000000001</v>
      </c>
      <c r="J301" s="37">
        <f t="shared" si="63"/>
        <v>169.42489999999998</v>
      </c>
    </row>
    <row r="302" spans="1:10" x14ac:dyDescent="0.3">
      <c r="A302" s="20">
        <v>45989</v>
      </c>
      <c r="B302" s="25"/>
      <c r="C302" s="36"/>
      <c r="D302" s="26"/>
      <c r="E302" s="27">
        <f>C302*D302</f>
        <v>0</v>
      </c>
      <c r="F302" s="28">
        <f>B302*0.13</f>
        <v>0</v>
      </c>
      <c r="G302" s="26"/>
      <c r="H302" s="26"/>
      <c r="I302" s="29">
        <f>E302+F302</f>
        <v>0</v>
      </c>
      <c r="J302" s="37">
        <f t="shared" si="63"/>
        <v>0</v>
      </c>
    </row>
    <row r="303" spans="1:10" x14ac:dyDescent="0.3">
      <c r="A303" s="20">
        <v>45990</v>
      </c>
      <c r="B303" s="1"/>
      <c r="C303" s="3"/>
      <c r="D303" s="4"/>
      <c r="E303" s="5">
        <f t="shared" ref="E303:E305" si="108">C303*D303</f>
        <v>0</v>
      </c>
      <c r="F303" s="6">
        <f t="shared" ref="F303:F305" si="109">B303*0.13</f>
        <v>0</v>
      </c>
      <c r="G303" s="4"/>
      <c r="H303" s="4"/>
      <c r="I303" s="7">
        <f t="shared" ref="I303:I305" si="110">E303+F303</f>
        <v>0</v>
      </c>
      <c r="J303" s="37">
        <f t="shared" ref="J303:J366" si="111">G303+H303-I303</f>
        <v>0</v>
      </c>
    </row>
    <row r="304" spans="1:10" x14ac:dyDescent="0.3">
      <c r="A304" s="20">
        <v>45991</v>
      </c>
      <c r="B304" s="1"/>
      <c r="C304" s="3"/>
      <c r="D304" s="4"/>
      <c r="E304" s="5">
        <f t="shared" si="108"/>
        <v>0</v>
      </c>
      <c r="F304" s="6">
        <f t="shared" si="109"/>
        <v>0</v>
      </c>
      <c r="G304" s="4"/>
      <c r="H304" s="4"/>
      <c r="I304" s="7">
        <f t="shared" si="110"/>
        <v>0</v>
      </c>
      <c r="J304" s="37">
        <f t="shared" si="111"/>
        <v>0</v>
      </c>
    </row>
    <row r="305" spans="1:10" x14ac:dyDescent="0.3">
      <c r="A305" s="20">
        <v>45992</v>
      </c>
      <c r="B305" s="1">
        <v>183.6</v>
      </c>
      <c r="C305" s="3">
        <f t="shared" ref="C305" si="112">B305/10</f>
        <v>18.36</v>
      </c>
      <c r="D305" s="4">
        <v>4.1900000000000004</v>
      </c>
      <c r="E305" s="5">
        <f t="shared" si="108"/>
        <v>76.928400000000011</v>
      </c>
      <c r="F305" s="6">
        <f t="shared" si="109"/>
        <v>23.867999999999999</v>
      </c>
      <c r="G305" s="4">
        <v>33.86</v>
      </c>
      <c r="H305" s="4">
        <v>332.42</v>
      </c>
      <c r="I305" s="7">
        <f t="shared" si="110"/>
        <v>100.79640000000001</v>
      </c>
      <c r="J305" s="37">
        <f t="shared" si="111"/>
        <v>265.48360000000002</v>
      </c>
    </row>
    <row r="306" spans="1:10" x14ac:dyDescent="0.3">
      <c r="A306" s="20">
        <v>45993</v>
      </c>
      <c r="B306" s="25">
        <v>197</v>
      </c>
      <c r="C306" s="36">
        <f>B306/10</f>
        <v>19.7</v>
      </c>
      <c r="D306" s="26">
        <v>4.1900000000000004</v>
      </c>
      <c r="E306" s="27">
        <f>C306*D306</f>
        <v>82.543000000000006</v>
      </c>
      <c r="F306" s="28">
        <f>B306*0.13</f>
        <v>25.61</v>
      </c>
      <c r="G306" s="26">
        <v>89.28</v>
      </c>
      <c r="H306" s="26">
        <v>234.46</v>
      </c>
      <c r="I306" s="29">
        <f>E306+F306</f>
        <v>108.15300000000001</v>
      </c>
      <c r="J306" s="37">
        <f t="shared" si="111"/>
        <v>215.58699999999999</v>
      </c>
    </row>
    <row r="307" spans="1:10" x14ac:dyDescent="0.3">
      <c r="A307" s="20">
        <v>45994</v>
      </c>
      <c r="B307" s="25">
        <v>212.2</v>
      </c>
      <c r="C307" s="36">
        <f>B307/10</f>
        <v>21.22</v>
      </c>
      <c r="D307" s="26">
        <v>3.99</v>
      </c>
      <c r="E307" s="27">
        <f>C307*D307</f>
        <v>84.6678</v>
      </c>
      <c r="F307" s="28">
        <f>B307*0.13</f>
        <v>27.585999999999999</v>
      </c>
      <c r="G307" s="26">
        <v>203.49</v>
      </c>
      <c r="H307" s="26">
        <v>113.95</v>
      </c>
      <c r="I307" s="29">
        <f>E307+F307</f>
        <v>112.2538</v>
      </c>
      <c r="J307" s="37">
        <f t="shared" si="111"/>
        <v>205.18619999999999</v>
      </c>
    </row>
    <row r="308" spans="1:10" x14ac:dyDescent="0.3">
      <c r="A308" s="20">
        <v>45995</v>
      </c>
      <c r="B308" s="25">
        <v>186.2</v>
      </c>
      <c r="C308" s="36">
        <f>B308/10</f>
        <v>18.619999999999997</v>
      </c>
      <c r="D308" s="26">
        <v>4.1900000000000004</v>
      </c>
      <c r="E308" s="27">
        <f>C308*D308</f>
        <v>78.017799999999994</v>
      </c>
      <c r="F308" s="28">
        <f>B308*0.13</f>
        <v>24.206</v>
      </c>
      <c r="G308" s="26">
        <v>253.77</v>
      </c>
      <c r="H308" s="26">
        <v>54</v>
      </c>
      <c r="I308" s="29">
        <f>E308+F308</f>
        <v>102.2238</v>
      </c>
      <c r="J308" s="37">
        <f t="shared" si="111"/>
        <v>205.5462</v>
      </c>
    </row>
    <row r="309" spans="1:10" x14ac:dyDescent="0.3">
      <c r="A309" s="20">
        <v>45996</v>
      </c>
      <c r="B309" s="25">
        <v>183</v>
      </c>
      <c r="C309" s="36">
        <f>B309/10</f>
        <v>18.3</v>
      </c>
      <c r="D309" s="26">
        <v>4.1900000000000004</v>
      </c>
      <c r="E309" s="27">
        <f>C309*D309</f>
        <v>76.677000000000007</v>
      </c>
      <c r="F309" s="28">
        <f>B309*0.13</f>
        <v>23.79</v>
      </c>
      <c r="G309" s="26">
        <v>96.31</v>
      </c>
      <c r="H309" s="26">
        <v>227.28</v>
      </c>
      <c r="I309" s="29">
        <f>E309+F309</f>
        <v>100.46700000000001</v>
      </c>
      <c r="J309" s="37">
        <f t="shared" si="111"/>
        <v>223.12300000000002</v>
      </c>
    </row>
    <row r="310" spans="1:10" x14ac:dyDescent="0.3">
      <c r="A310" s="20">
        <v>45997</v>
      </c>
      <c r="B310" s="25"/>
      <c r="C310" s="36"/>
      <c r="D310" s="26"/>
      <c r="E310" s="27">
        <f>C310*D310</f>
        <v>0</v>
      </c>
      <c r="F310" s="28">
        <f>B310*0.13</f>
        <v>0</v>
      </c>
      <c r="G310" s="26"/>
      <c r="H310" s="26"/>
      <c r="I310" s="29">
        <f>E310+F310</f>
        <v>0</v>
      </c>
      <c r="J310" s="37">
        <f t="shared" si="111"/>
        <v>0</v>
      </c>
    </row>
    <row r="311" spans="1:10" x14ac:dyDescent="0.3">
      <c r="A311" s="20">
        <v>45998</v>
      </c>
      <c r="B311" s="1"/>
      <c r="C311" s="3"/>
      <c r="D311" s="4"/>
      <c r="E311" s="5">
        <f t="shared" ref="E311:E312" si="113">C311*D311</f>
        <v>0</v>
      </c>
      <c r="F311" s="6">
        <f t="shared" ref="F311:F312" si="114">B311*0.13</f>
        <v>0</v>
      </c>
      <c r="G311" s="4"/>
      <c r="H311" s="4"/>
      <c r="I311" s="7">
        <f t="shared" ref="I311:I312" si="115">E311+F311</f>
        <v>0</v>
      </c>
      <c r="J311" s="37">
        <f t="shared" si="111"/>
        <v>0</v>
      </c>
    </row>
    <row r="312" spans="1:10" x14ac:dyDescent="0.3">
      <c r="A312" s="20">
        <v>45999</v>
      </c>
      <c r="B312" s="1">
        <v>184</v>
      </c>
      <c r="C312" s="3">
        <f t="shared" ref="C312" si="116">B312/10</f>
        <v>18.399999999999999</v>
      </c>
      <c r="D312" s="4">
        <v>4.1900000000000004</v>
      </c>
      <c r="E312" s="5">
        <f t="shared" si="113"/>
        <v>77.096000000000004</v>
      </c>
      <c r="F312" s="6">
        <f t="shared" si="114"/>
        <v>23.92</v>
      </c>
      <c r="G312" s="4">
        <v>210.48</v>
      </c>
      <c r="H312" s="4">
        <v>108.9</v>
      </c>
      <c r="I312" s="7">
        <f t="shared" si="115"/>
        <v>101.01600000000001</v>
      </c>
      <c r="J312" s="37">
        <f t="shared" si="111"/>
        <v>218.36399999999998</v>
      </c>
    </row>
    <row r="313" spans="1:10" x14ac:dyDescent="0.3">
      <c r="A313" s="20">
        <v>46000</v>
      </c>
      <c r="B313" s="25">
        <v>185</v>
      </c>
      <c r="C313" s="36">
        <f>B313/10</f>
        <v>18.5</v>
      </c>
      <c r="D313" s="26">
        <v>4.1900000000000004</v>
      </c>
      <c r="E313" s="27">
        <f>C313*D313</f>
        <v>77.515000000000001</v>
      </c>
      <c r="F313" s="28">
        <f>B313*0.13</f>
        <v>24.05</v>
      </c>
      <c r="G313" s="26">
        <v>108.49</v>
      </c>
      <c r="H313" s="26">
        <v>258.27999999999997</v>
      </c>
      <c r="I313" s="29">
        <f>E313+F313</f>
        <v>101.565</v>
      </c>
      <c r="J313" s="37">
        <f t="shared" si="111"/>
        <v>265.20499999999998</v>
      </c>
    </row>
    <row r="314" spans="1:10" x14ac:dyDescent="0.3">
      <c r="A314" s="20">
        <v>46001</v>
      </c>
      <c r="B314" s="25">
        <v>185.5</v>
      </c>
      <c r="C314" s="36">
        <f>B314/10</f>
        <v>18.55</v>
      </c>
      <c r="D314" s="26">
        <v>4.1900000000000004</v>
      </c>
      <c r="E314" s="27">
        <f>C314*D314</f>
        <v>77.724500000000006</v>
      </c>
      <c r="F314" s="28">
        <f>B314*0.13</f>
        <v>24.115000000000002</v>
      </c>
      <c r="G314" s="26">
        <v>15.61</v>
      </c>
      <c r="H314" s="26">
        <v>363.28</v>
      </c>
      <c r="I314" s="29">
        <f>E314+F314</f>
        <v>101.83950000000002</v>
      </c>
      <c r="J314" s="37">
        <f t="shared" si="111"/>
        <v>277.05049999999994</v>
      </c>
    </row>
    <row r="315" spans="1:10" x14ac:dyDescent="0.3">
      <c r="A315" s="20">
        <v>46002</v>
      </c>
      <c r="B315" s="25">
        <v>156</v>
      </c>
      <c r="C315" s="36">
        <f>B315/10</f>
        <v>15.6</v>
      </c>
      <c r="D315" s="26">
        <v>4.1900000000000004</v>
      </c>
      <c r="E315" s="27">
        <f>C315*D315</f>
        <v>65.364000000000004</v>
      </c>
      <c r="F315" s="28">
        <f>B315*0.13</f>
        <v>20.28</v>
      </c>
      <c r="G315" s="26">
        <v>135.37</v>
      </c>
      <c r="H315" s="26">
        <v>155.65</v>
      </c>
      <c r="I315" s="29">
        <f>E315+F315</f>
        <v>85.644000000000005</v>
      </c>
      <c r="J315" s="37">
        <f t="shared" si="111"/>
        <v>205.37599999999998</v>
      </c>
    </row>
    <row r="316" spans="1:10" x14ac:dyDescent="0.3">
      <c r="A316" s="20">
        <v>46003</v>
      </c>
      <c r="B316" s="25">
        <v>186</v>
      </c>
      <c r="C316" s="36">
        <f>B316/10</f>
        <v>18.600000000000001</v>
      </c>
      <c r="D316" s="26">
        <v>4.1900000000000004</v>
      </c>
      <c r="E316" s="27">
        <f>C316*D316</f>
        <v>77.934000000000012</v>
      </c>
      <c r="F316" s="28">
        <f>B316*0.13</f>
        <v>24.18</v>
      </c>
      <c r="G316" s="26">
        <v>164</v>
      </c>
      <c r="H316" s="26">
        <v>116</v>
      </c>
      <c r="I316" s="29">
        <f>E316+F316</f>
        <v>102.114</v>
      </c>
      <c r="J316" s="37">
        <f t="shared" si="111"/>
        <v>177.886</v>
      </c>
    </row>
    <row r="317" spans="1:10" x14ac:dyDescent="0.3">
      <c r="A317" s="20">
        <v>46004</v>
      </c>
      <c r="B317" s="1"/>
      <c r="C317" s="3"/>
      <c r="D317" s="4"/>
      <c r="E317" s="5">
        <f t="shared" ref="E317:E319" si="117">C317*D317</f>
        <v>0</v>
      </c>
      <c r="F317" s="6">
        <f t="shared" ref="F317:F319" si="118">B317*0.13</f>
        <v>0</v>
      </c>
      <c r="G317" s="4"/>
      <c r="H317" s="4"/>
      <c r="I317" s="7">
        <f t="shared" ref="I317:I319" si="119">E317+F317</f>
        <v>0</v>
      </c>
      <c r="J317" s="37">
        <f t="shared" si="111"/>
        <v>0</v>
      </c>
    </row>
    <row r="318" spans="1:10" x14ac:dyDescent="0.3">
      <c r="A318" s="20">
        <v>46005</v>
      </c>
      <c r="B318" s="1"/>
      <c r="C318" s="3"/>
      <c r="D318" s="4"/>
      <c r="E318" s="5">
        <f t="shared" si="117"/>
        <v>0</v>
      </c>
      <c r="F318" s="6">
        <f t="shared" si="118"/>
        <v>0</v>
      </c>
      <c r="G318" s="4"/>
      <c r="H318" s="4"/>
      <c r="I318" s="7">
        <f t="shared" si="119"/>
        <v>0</v>
      </c>
      <c r="J318" s="37">
        <f t="shared" si="111"/>
        <v>0</v>
      </c>
    </row>
    <row r="319" spans="1:10" x14ac:dyDescent="0.3">
      <c r="A319" s="20">
        <v>46006</v>
      </c>
      <c r="B319" s="1">
        <v>233</v>
      </c>
      <c r="C319" s="3">
        <f t="shared" ref="C319" si="120">B319/10</f>
        <v>23.3</v>
      </c>
      <c r="D319" s="4">
        <v>4.1900000000000004</v>
      </c>
      <c r="E319" s="5">
        <f t="shared" si="117"/>
        <v>97.62700000000001</v>
      </c>
      <c r="F319" s="6">
        <f t="shared" si="118"/>
        <v>30.290000000000003</v>
      </c>
      <c r="G319" s="4">
        <v>119.8</v>
      </c>
      <c r="H319" s="4">
        <v>217.4</v>
      </c>
      <c r="I319" s="7">
        <f t="shared" si="119"/>
        <v>127.91700000000002</v>
      </c>
      <c r="J319" s="37">
        <f t="shared" si="111"/>
        <v>209.28299999999996</v>
      </c>
    </row>
    <row r="320" spans="1:10" x14ac:dyDescent="0.3">
      <c r="A320" s="20">
        <v>46007</v>
      </c>
      <c r="B320" s="25"/>
      <c r="C320" s="36"/>
      <c r="D320" s="26"/>
      <c r="E320" s="27">
        <f>C320*D320</f>
        <v>0</v>
      </c>
      <c r="F320" s="28">
        <f>B320*0.13</f>
        <v>0</v>
      </c>
      <c r="G320" s="26"/>
      <c r="H320" s="26"/>
      <c r="I320" s="29">
        <f>E320+F320</f>
        <v>0</v>
      </c>
      <c r="J320" s="37">
        <f t="shared" si="111"/>
        <v>0</v>
      </c>
    </row>
    <row r="321" spans="1:10" x14ac:dyDescent="0.3">
      <c r="A321" s="20">
        <v>46008</v>
      </c>
      <c r="B321" s="1"/>
      <c r="C321" s="3"/>
      <c r="D321" s="4"/>
      <c r="E321" s="5">
        <f t="shared" ref="E321:E323" si="121">C321*D321</f>
        <v>0</v>
      </c>
      <c r="F321" s="6">
        <f t="shared" ref="F321:F323" si="122">B321*0.13</f>
        <v>0</v>
      </c>
      <c r="G321" s="4"/>
      <c r="H321" s="4"/>
      <c r="I321" s="7">
        <f t="shared" ref="I321:I323" si="123">E321+F321</f>
        <v>0</v>
      </c>
      <c r="J321" s="37">
        <f t="shared" si="111"/>
        <v>0</v>
      </c>
    </row>
    <row r="322" spans="1:10" x14ac:dyDescent="0.3">
      <c r="A322" s="20">
        <v>46009</v>
      </c>
      <c r="B322" s="1"/>
      <c r="C322" s="3"/>
      <c r="D322" s="4"/>
      <c r="E322" s="5">
        <f t="shared" si="121"/>
        <v>0</v>
      </c>
      <c r="F322" s="6">
        <f t="shared" si="122"/>
        <v>0</v>
      </c>
      <c r="G322" s="4"/>
      <c r="H322" s="4"/>
      <c r="I322" s="7">
        <f t="shared" si="123"/>
        <v>0</v>
      </c>
      <c r="J322" s="37">
        <f t="shared" si="111"/>
        <v>0</v>
      </c>
    </row>
    <row r="323" spans="1:10" x14ac:dyDescent="0.3">
      <c r="A323" s="20">
        <v>46010</v>
      </c>
      <c r="B323" s="1">
        <v>181</v>
      </c>
      <c r="C323" s="3">
        <f t="shared" ref="C323" si="124">B323/10</f>
        <v>18.100000000000001</v>
      </c>
      <c r="D323" s="4">
        <v>4.1900000000000004</v>
      </c>
      <c r="E323" s="5">
        <f t="shared" si="121"/>
        <v>75.839000000000013</v>
      </c>
      <c r="F323" s="6">
        <f t="shared" si="122"/>
        <v>23.53</v>
      </c>
      <c r="G323" s="4">
        <v>9.74</v>
      </c>
      <c r="H323" s="4">
        <v>320.45999999999998</v>
      </c>
      <c r="I323" s="7">
        <f t="shared" si="123"/>
        <v>99.369000000000014</v>
      </c>
      <c r="J323" s="37">
        <f t="shared" si="111"/>
        <v>230.83099999999996</v>
      </c>
    </row>
    <row r="324" spans="1:10" x14ac:dyDescent="0.3">
      <c r="A324" s="20">
        <v>46011</v>
      </c>
      <c r="B324" s="25"/>
      <c r="C324" s="36"/>
      <c r="D324" s="26"/>
      <c r="E324" s="27">
        <f>C324*D324</f>
        <v>0</v>
      </c>
      <c r="F324" s="28">
        <f>B324*0.13</f>
        <v>0</v>
      </c>
      <c r="G324" s="26"/>
      <c r="H324" s="26"/>
      <c r="I324" s="29">
        <f>E324+F324</f>
        <v>0</v>
      </c>
      <c r="J324" s="37">
        <f t="shared" si="111"/>
        <v>0</v>
      </c>
    </row>
    <row r="325" spans="1:10" x14ac:dyDescent="0.3">
      <c r="A325" s="20">
        <v>46012</v>
      </c>
      <c r="B325" s="1"/>
      <c r="C325" s="3"/>
      <c r="D325" s="4"/>
      <c r="E325" s="5">
        <f t="shared" ref="E325:E326" si="125">C325*D325</f>
        <v>0</v>
      </c>
      <c r="F325" s="6">
        <f t="shared" ref="F325:F326" si="126">B325*0.13</f>
        <v>0</v>
      </c>
      <c r="G325" s="4"/>
      <c r="H325" s="4"/>
      <c r="I325" s="7">
        <f t="shared" ref="I325:I326" si="127">E325+F325</f>
        <v>0</v>
      </c>
      <c r="J325" s="37">
        <f t="shared" si="111"/>
        <v>0</v>
      </c>
    </row>
    <row r="326" spans="1:10" x14ac:dyDescent="0.3">
      <c r="A326" s="20">
        <v>46013</v>
      </c>
      <c r="B326" s="1">
        <v>190</v>
      </c>
      <c r="C326" s="3">
        <f t="shared" ref="C326" si="128">B326/10</f>
        <v>19</v>
      </c>
      <c r="D326" s="4">
        <v>4.1900000000000004</v>
      </c>
      <c r="E326" s="5">
        <f t="shared" si="125"/>
        <v>79.610000000000014</v>
      </c>
      <c r="F326" s="6">
        <f t="shared" si="126"/>
        <v>24.7</v>
      </c>
      <c r="G326" s="4">
        <v>89.46</v>
      </c>
      <c r="H326" s="4">
        <v>286.76</v>
      </c>
      <c r="I326" s="7">
        <f t="shared" si="127"/>
        <v>104.31000000000002</v>
      </c>
      <c r="J326" s="37">
        <f t="shared" si="111"/>
        <v>271.90999999999997</v>
      </c>
    </row>
    <row r="327" spans="1:10" x14ac:dyDescent="0.3">
      <c r="A327" s="20">
        <v>46014</v>
      </c>
      <c r="B327" s="25">
        <v>201</v>
      </c>
      <c r="C327" s="36">
        <f>B327/10</f>
        <v>20.100000000000001</v>
      </c>
      <c r="D327" s="26">
        <v>4.1900000000000004</v>
      </c>
      <c r="E327" s="27">
        <f>C327*D327</f>
        <v>84.219000000000008</v>
      </c>
      <c r="F327" s="28">
        <f>B327*0.13</f>
        <v>26.130000000000003</v>
      </c>
      <c r="G327" s="26">
        <v>61.8</v>
      </c>
      <c r="H327" s="26">
        <v>253.32</v>
      </c>
      <c r="I327" s="29">
        <f>E327+F327</f>
        <v>110.34900000000002</v>
      </c>
      <c r="J327" s="37">
        <f t="shared" si="111"/>
        <v>204.77099999999999</v>
      </c>
    </row>
    <row r="328" spans="1:10" x14ac:dyDescent="0.3">
      <c r="A328" s="20">
        <v>46015</v>
      </c>
      <c r="B328" s="1"/>
      <c r="C328" s="3"/>
      <c r="D328" s="4"/>
      <c r="E328" s="5">
        <f t="shared" ref="E328:E329" si="129">C328*D328</f>
        <v>0</v>
      </c>
      <c r="F328" s="6">
        <f t="shared" ref="F328:F329" si="130">B328*0.13</f>
        <v>0</v>
      </c>
      <c r="G328" s="4"/>
      <c r="H328" s="4"/>
      <c r="I328" s="7">
        <f t="shared" ref="I328:I329" si="131">E328+F328</f>
        <v>0</v>
      </c>
      <c r="J328" s="37">
        <f t="shared" si="111"/>
        <v>0</v>
      </c>
    </row>
    <row r="329" spans="1:10" x14ac:dyDescent="0.3">
      <c r="A329" s="20">
        <v>46016</v>
      </c>
      <c r="B329" s="1"/>
      <c r="C329" s="3"/>
      <c r="D329" s="4"/>
      <c r="E329" s="5">
        <f t="shared" si="129"/>
        <v>0</v>
      </c>
      <c r="F329" s="6">
        <f t="shared" si="130"/>
        <v>0</v>
      </c>
      <c r="G329" s="4"/>
      <c r="H329" s="4"/>
      <c r="I329" s="7">
        <f t="shared" si="131"/>
        <v>0</v>
      </c>
      <c r="J329" s="37">
        <f t="shared" si="111"/>
        <v>0</v>
      </c>
    </row>
    <row r="330" spans="1:10" x14ac:dyDescent="0.3">
      <c r="A330" s="20">
        <v>46017</v>
      </c>
      <c r="B330" s="1"/>
      <c r="C330" s="3"/>
      <c r="D330" s="4"/>
      <c r="E330" s="5">
        <f t="shared" ref="E330:E340" si="132">C330*D330</f>
        <v>0</v>
      </c>
      <c r="F330" s="6">
        <f t="shared" ref="F330:F340" si="133">B330*0.13</f>
        <v>0</v>
      </c>
      <c r="G330" s="4"/>
      <c r="H330" s="4"/>
      <c r="I330" s="7">
        <f t="shared" ref="I330:I340" si="134">E330+F330</f>
        <v>0</v>
      </c>
      <c r="J330" s="37">
        <f t="shared" si="111"/>
        <v>0</v>
      </c>
    </row>
    <row r="331" spans="1:10" x14ac:dyDescent="0.3">
      <c r="A331" s="20">
        <v>46018</v>
      </c>
      <c r="B331" s="1"/>
      <c r="C331" s="3"/>
      <c r="D331" s="4"/>
      <c r="E331" s="5">
        <f t="shared" si="132"/>
        <v>0</v>
      </c>
      <c r="F331" s="6">
        <f t="shared" si="133"/>
        <v>0</v>
      </c>
      <c r="G331" s="4"/>
      <c r="H331" s="4"/>
      <c r="I331" s="7">
        <f t="shared" si="134"/>
        <v>0</v>
      </c>
      <c r="J331" s="37">
        <f t="shared" si="111"/>
        <v>0</v>
      </c>
    </row>
    <row r="332" spans="1:10" x14ac:dyDescent="0.3">
      <c r="A332" s="20">
        <v>46019</v>
      </c>
      <c r="B332" s="1"/>
      <c r="C332" s="3"/>
      <c r="D332" s="4"/>
      <c r="E332" s="5">
        <f t="shared" si="132"/>
        <v>0</v>
      </c>
      <c r="F332" s="6">
        <f t="shared" si="133"/>
        <v>0</v>
      </c>
      <c r="G332" s="4"/>
      <c r="H332" s="4"/>
      <c r="I332" s="7">
        <f t="shared" si="134"/>
        <v>0</v>
      </c>
      <c r="J332" s="37">
        <f t="shared" si="111"/>
        <v>0</v>
      </c>
    </row>
    <row r="333" spans="1:10" x14ac:dyDescent="0.3">
      <c r="A333" s="20">
        <v>46020</v>
      </c>
      <c r="B333" s="1"/>
      <c r="C333" s="3"/>
      <c r="D333" s="4"/>
      <c r="E333" s="5">
        <f t="shared" si="132"/>
        <v>0</v>
      </c>
      <c r="F333" s="6">
        <f t="shared" si="133"/>
        <v>0</v>
      </c>
      <c r="G333" s="4"/>
      <c r="H333" s="4"/>
      <c r="I333" s="7">
        <f t="shared" si="134"/>
        <v>0</v>
      </c>
      <c r="J333" s="37">
        <f t="shared" si="111"/>
        <v>0</v>
      </c>
    </row>
    <row r="334" spans="1:10" x14ac:dyDescent="0.3">
      <c r="A334" s="20">
        <v>46021</v>
      </c>
      <c r="B334" s="1"/>
      <c r="C334" s="3"/>
      <c r="D334" s="4"/>
      <c r="E334" s="5">
        <f t="shared" si="132"/>
        <v>0</v>
      </c>
      <c r="F334" s="6">
        <f t="shared" si="133"/>
        <v>0</v>
      </c>
      <c r="G334" s="4"/>
      <c r="H334" s="4"/>
      <c r="I334" s="7">
        <f t="shared" si="134"/>
        <v>0</v>
      </c>
      <c r="J334" s="37">
        <f t="shared" si="111"/>
        <v>0</v>
      </c>
    </row>
    <row r="335" spans="1:10" x14ac:dyDescent="0.3">
      <c r="A335" s="20">
        <v>46022</v>
      </c>
      <c r="B335" s="1"/>
      <c r="C335" s="3"/>
      <c r="D335" s="4"/>
      <c r="E335" s="5">
        <f t="shared" si="132"/>
        <v>0</v>
      </c>
      <c r="F335" s="6">
        <f t="shared" si="133"/>
        <v>0</v>
      </c>
      <c r="G335" s="4"/>
      <c r="H335" s="4"/>
      <c r="I335" s="7">
        <f t="shared" si="134"/>
        <v>0</v>
      </c>
      <c r="J335" s="37">
        <f t="shared" si="111"/>
        <v>0</v>
      </c>
    </row>
    <row r="336" spans="1:10" x14ac:dyDescent="0.3">
      <c r="A336" s="20">
        <v>46023</v>
      </c>
      <c r="B336" s="1"/>
      <c r="C336" s="3"/>
      <c r="D336" s="4"/>
      <c r="E336" s="5">
        <f t="shared" si="132"/>
        <v>0</v>
      </c>
      <c r="F336" s="6">
        <f t="shared" si="133"/>
        <v>0</v>
      </c>
      <c r="G336" s="4"/>
      <c r="H336" s="4"/>
      <c r="I336" s="7">
        <f t="shared" si="134"/>
        <v>0</v>
      </c>
      <c r="J336" s="37">
        <f t="shared" si="111"/>
        <v>0</v>
      </c>
    </row>
    <row r="337" spans="1:10" x14ac:dyDescent="0.3">
      <c r="A337" s="20">
        <v>46024</v>
      </c>
      <c r="B337" s="1"/>
      <c r="C337" s="3"/>
      <c r="D337" s="4"/>
      <c r="E337" s="5">
        <f t="shared" si="132"/>
        <v>0</v>
      </c>
      <c r="F337" s="6">
        <f t="shared" si="133"/>
        <v>0</v>
      </c>
      <c r="G337" s="4"/>
      <c r="H337" s="4"/>
      <c r="I337" s="7">
        <f t="shared" si="134"/>
        <v>0</v>
      </c>
      <c r="J337" s="37">
        <f t="shared" si="111"/>
        <v>0</v>
      </c>
    </row>
    <row r="338" spans="1:10" x14ac:dyDescent="0.3">
      <c r="A338" s="20">
        <v>46025</v>
      </c>
      <c r="B338" s="1"/>
      <c r="C338" s="3"/>
      <c r="D338" s="4"/>
      <c r="E338" s="5">
        <f t="shared" si="132"/>
        <v>0</v>
      </c>
      <c r="F338" s="6">
        <f t="shared" si="133"/>
        <v>0</v>
      </c>
      <c r="G338" s="4"/>
      <c r="H338" s="4"/>
      <c r="I338" s="7">
        <f t="shared" si="134"/>
        <v>0</v>
      </c>
      <c r="J338" s="37">
        <f t="shared" si="111"/>
        <v>0</v>
      </c>
    </row>
    <row r="339" spans="1:10" x14ac:dyDescent="0.3">
      <c r="A339" s="20">
        <v>46026</v>
      </c>
      <c r="B339" s="1"/>
      <c r="C339" s="3"/>
      <c r="D339" s="4"/>
      <c r="E339" s="5">
        <f t="shared" si="132"/>
        <v>0</v>
      </c>
      <c r="F339" s="6">
        <f t="shared" si="133"/>
        <v>0</v>
      </c>
      <c r="G339" s="4"/>
      <c r="H339" s="4"/>
      <c r="I339" s="7">
        <f t="shared" si="134"/>
        <v>0</v>
      </c>
      <c r="J339" s="37">
        <f t="shared" si="111"/>
        <v>0</v>
      </c>
    </row>
    <row r="340" spans="1:10" x14ac:dyDescent="0.3">
      <c r="A340" s="20">
        <v>46027</v>
      </c>
      <c r="B340" s="1">
        <v>180.4</v>
      </c>
      <c r="C340" s="3">
        <f t="shared" ref="C340" si="135">B340/10</f>
        <v>18.04</v>
      </c>
      <c r="D340" s="4">
        <v>4.1900000000000004</v>
      </c>
      <c r="E340" s="5">
        <f t="shared" si="132"/>
        <v>75.587600000000009</v>
      </c>
      <c r="F340" s="6">
        <f t="shared" si="133"/>
        <v>23.452000000000002</v>
      </c>
      <c r="G340" s="4">
        <v>136.94999999999999</v>
      </c>
      <c r="H340" s="4">
        <v>123.8</v>
      </c>
      <c r="I340" s="7">
        <f t="shared" si="134"/>
        <v>99.039600000000007</v>
      </c>
      <c r="J340" s="37">
        <f t="shared" si="111"/>
        <v>161.71039999999999</v>
      </c>
    </row>
    <row r="341" spans="1:10" x14ac:dyDescent="0.3">
      <c r="A341" s="20">
        <v>46028</v>
      </c>
      <c r="B341" s="25">
        <v>170</v>
      </c>
      <c r="C341" s="36">
        <f>B341/10</f>
        <v>17</v>
      </c>
      <c r="D341" s="26">
        <v>4.1900000000000004</v>
      </c>
      <c r="E341" s="27">
        <f>C341*D341</f>
        <v>71.23</v>
      </c>
      <c r="F341" s="28">
        <f>B341*0.13</f>
        <v>22.1</v>
      </c>
      <c r="G341" s="26">
        <v>180.09</v>
      </c>
      <c r="H341" s="26">
        <v>66.12</v>
      </c>
      <c r="I341" s="29">
        <f>E341+F341</f>
        <v>93.330000000000013</v>
      </c>
      <c r="J341" s="37">
        <f t="shared" si="111"/>
        <v>152.88</v>
      </c>
    </row>
    <row r="342" spans="1:10" x14ac:dyDescent="0.3">
      <c r="A342" s="20">
        <v>46029</v>
      </c>
      <c r="B342" s="1">
        <v>205.5</v>
      </c>
      <c r="C342" s="3">
        <f>B342/10</f>
        <v>20.55</v>
      </c>
      <c r="D342" s="4">
        <v>4.1900000000000004</v>
      </c>
      <c r="E342" s="5">
        <f>C342*D342</f>
        <v>86.104500000000016</v>
      </c>
      <c r="F342" s="6">
        <f>B342*0.13</f>
        <v>26.715</v>
      </c>
      <c r="G342" s="4">
        <v>160.26</v>
      </c>
      <c r="H342" s="4">
        <v>140.04</v>
      </c>
      <c r="I342" s="7">
        <f>E342+F342</f>
        <v>112.81950000000002</v>
      </c>
      <c r="J342" s="37">
        <f t="shared" si="111"/>
        <v>187.48049999999995</v>
      </c>
    </row>
    <row r="343" spans="1:10" x14ac:dyDescent="0.3">
      <c r="A343" s="20">
        <v>46030</v>
      </c>
      <c r="B343" s="1"/>
      <c r="C343" s="3"/>
      <c r="D343" s="4"/>
      <c r="E343" s="5">
        <f t="shared" ref="E343:E362" si="136">C343*D343</f>
        <v>0</v>
      </c>
      <c r="F343" s="6">
        <f t="shared" ref="F343:F362" si="137">B343*0.13</f>
        <v>0</v>
      </c>
      <c r="G343" s="4"/>
      <c r="H343" s="4"/>
      <c r="I343" s="7">
        <f t="shared" ref="I343:I362" si="138">E343+F343</f>
        <v>0</v>
      </c>
      <c r="J343" s="37">
        <f t="shared" si="111"/>
        <v>0</v>
      </c>
    </row>
    <row r="344" spans="1:10" x14ac:dyDescent="0.3">
      <c r="A344" s="20">
        <v>46031</v>
      </c>
      <c r="B344" s="1"/>
      <c r="C344" s="3"/>
      <c r="D344" s="4"/>
      <c r="E344" s="5">
        <f t="shared" si="136"/>
        <v>0</v>
      </c>
      <c r="F344" s="6">
        <f t="shared" si="137"/>
        <v>0</v>
      </c>
      <c r="G344" s="4"/>
      <c r="H344" s="4"/>
      <c r="I344" s="7">
        <f t="shared" si="138"/>
        <v>0</v>
      </c>
      <c r="J344" s="37">
        <f t="shared" si="111"/>
        <v>0</v>
      </c>
    </row>
    <row r="345" spans="1:10" x14ac:dyDescent="0.3">
      <c r="A345" s="20">
        <v>46032</v>
      </c>
      <c r="B345" s="1"/>
      <c r="C345" s="3"/>
      <c r="D345" s="4"/>
      <c r="E345" s="5">
        <f t="shared" si="136"/>
        <v>0</v>
      </c>
      <c r="F345" s="6">
        <f t="shared" si="137"/>
        <v>0</v>
      </c>
      <c r="G345" s="4"/>
      <c r="H345" s="4"/>
      <c r="I345" s="7">
        <f t="shared" si="138"/>
        <v>0</v>
      </c>
      <c r="J345" s="37">
        <f t="shared" si="111"/>
        <v>0</v>
      </c>
    </row>
    <row r="346" spans="1:10" x14ac:dyDescent="0.3">
      <c r="A346" s="20">
        <v>46033</v>
      </c>
      <c r="B346" s="1"/>
      <c r="C346" s="3"/>
      <c r="D346" s="4"/>
      <c r="E346" s="5">
        <f t="shared" si="136"/>
        <v>0</v>
      </c>
      <c r="F346" s="6">
        <f t="shared" si="137"/>
        <v>0</v>
      </c>
      <c r="G346" s="4"/>
      <c r="H346" s="4"/>
      <c r="I346" s="7">
        <f t="shared" si="138"/>
        <v>0</v>
      </c>
      <c r="J346" s="37">
        <f t="shared" si="111"/>
        <v>0</v>
      </c>
    </row>
    <row r="347" spans="1:10" x14ac:dyDescent="0.3">
      <c r="A347" s="20">
        <v>46034</v>
      </c>
      <c r="B347" s="1"/>
      <c r="C347" s="3"/>
      <c r="D347" s="4"/>
      <c r="E347" s="5">
        <f t="shared" si="136"/>
        <v>0</v>
      </c>
      <c r="F347" s="6">
        <f t="shared" si="137"/>
        <v>0</v>
      </c>
      <c r="G347" s="4"/>
      <c r="H347" s="4"/>
      <c r="I347" s="7">
        <f t="shared" si="138"/>
        <v>0</v>
      </c>
      <c r="J347" s="37">
        <f t="shared" si="111"/>
        <v>0</v>
      </c>
    </row>
    <row r="348" spans="1:10" x14ac:dyDescent="0.3">
      <c r="A348" s="20">
        <v>46035</v>
      </c>
      <c r="B348" s="1"/>
      <c r="C348" s="3"/>
      <c r="D348" s="4"/>
      <c r="E348" s="5">
        <f t="shared" si="136"/>
        <v>0</v>
      </c>
      <c r="F348" s="6">
        <f t="shared" si="137"/>
        <v>0</v>
      </c>
      <c r="G348" s="4"/>
      <c r="H348" s="4"/>
      <c r="I348" s="7">
        <f t="shared" si="138"/>
        <v>0</v>
      </c>
      <c r="J348" s="37">
        <f t="shared" si="111"/>
        <v>0</v>
      </c>
    </row>
    <row r="349" spans="1:10" x14ac:dyDescent="0.3">
      <c r="A349" s="20">
        <v>46036</v>
      </c>
      <c r="B349" s="1"/>
      <c r="C349" s="3"/>
      <c r="D349" s="4"/>
      <c r="E349" s="5">
        <f t="shared" si="136"/>
        <v>0</v>
      </c>
      <c r="F349" s="6">
        <f t="shared" si="137"/>
        <v>0</v>
      </c>
      <c r="G349" s="4"/>
      <c r="H349" s="4"/>
      <c r="I349" s="7">
        <f t="shared" si="138"/>
        <v>0</v>
      </c>
      <c r="J349" s="37">
        <f t="shared" si="111"/>
        <v>0</v>
      </c>
    </row>
    <row r="350" spans="1:10" x14ac:dyDescent="0.3">
      <c r="A350" s="20">
        <v>46037</v>
      </c>
      <c r="B350" s="1"/>
      <c r="C350" s="3"/>
      <c r="D350" s="4"/>
      <c r="E350" s="5">
        <f t="shared" si="136"/>
        <v>0</v>
      </c>
      <c r="F350" s="6">
        <f t="shared" si="137"/>
        <v>0</v>
      </c>
      <c r="G350" s="4"/>
      <c r="H350" s="4"/>
      <c r="I350" s="7">
        <f t="shared" si="138"/>
        <v>0</v>
      </c>
      <c r="J350" s="37">
        <f t="shared" si="111"/>
        <v>0</v>
      </c>
    </row>
    <row r="351" spans="1:10" x14ac:dyDescent="0.3">
      <c r="A351" s="20">
        <v>46038</v>
      </c>
      <c r="B351" s="1"/>
      <c r="C351" s="3"/>
      <c r="D351" s="4"/>
      <c r="E351" s="5">
        <f t="shared" si="136"/>
        <v>0</v>
      </c>
      <c r="F351" s="6">
        <f t="shared" si="137"/>
        <v>0</v>
      </c>
      <c r="G351" s="4"/>
      <c r="H351" s="4"/>
      <c r="I351" s="7">
        <f t="shared" si="138"/>
        <v>0</v>
      </c>
      <c r="J351" s="37">
        <f t="shared" si="111"/>
        <v>0</v>
      </c>
    </row>
    <row r="352" spans="1:10" x14ac:dyDescent="0.3">
      <c r="A352" s="20">
        <v>46039</v>
      </c>
      <c r="B352" s="1"/>
      <c r="C352" s="3"/>
      <c r="D352" s="4"/>
      <c r="E352" s="5">
        <f t="shared" si="136"/>
        <v>0</v>
      </c>
      <c r="F352" s="6">
        <f t="shared" si="137"/>
        <v>0</v>
      </c>
      <c r="G352" s="4"/>
      <c r="H352" s="4"/>
      <c r="I352" s="7">
        <f t="shared" si="138"/>
        <v>0</v>
      </c>
      <c r="J352" s="37">
        <f t="shared" si="111"/>
        <v>0</v>
      </c>
    </row>
    <row r="353" spans="1:10" x14ac:dyDescent="0.3">
      <c r="A353" s="20">
        <v>46040</v>
      </c>
      <c r="B353" s="1"/>
      <c r="C353" s="3"/>
      <c r="D353" s="4"/>
      <c r="E353" s="5">
        <f t="shared" si="136"/>
        <v>0</v>
      </c>
      <c r="F353" s="6">
        <f t="shared" si="137"/>
        <v>0</v>
      </c>
      <c r="G353" s="4"/>
      <c r="H353" s="4"/>
      <c r="I353" s="7">
        <f t="shared" si="138"/>
        <v>0</v>
      </c>
      <c r="J353" s="37">
        <f t="shared" si="111"/>
        <v>0</v>
      </c>
    </row>
    <row r="354" spans="1:10" x14ac:dyDescent="0.3">
      <c r="A354" s="20">
        <v>46041</v>
      </c>
      <c r="B354" s="1"/>
      <c r="C354" s="3"/>
      <c r="D354" s="4"/>
      <c r="E354" s="5">
        <f t="shared" si="136"/>
        <v>0</v>
      </c>
      <c r="F354" s="6">
        <f t="shared" si="137"/>
        <v>0</v>
      </c>
      <c r="G354" s="4"/>
      <c r="H354" s="4"/>
      <c r="I354" s="7">
        <f t="shared" si="138"/>
        <v>0</v>
      </c>
      <c r="J354" s="37">
        <f t="shared" si="111"/>
        <v>0</v>
      </c>
    </row>
    <row r="355" spans="1:10" x14ac:dyDescent="0.3">
      <c r="A355" s="20">
        <v>46042</v>
      </c>
      <c r="B355" s="1"/>
      <c r="C355" s="3"/>
      <c r="D355" s="4"/>
      <c r="E355" s="5">
        <f t="shared" si="136"/>
        <v>0</v>
      </c>
      <c r="F355" s="6">
        <f t="shared" si="137"/>
        <v>0</v>
      </c>
      <c r="G355" s="4"/>
      <c r="H355" s="4"/>
      <c r="I355" s="7">
        <f t="shared" si="138"/>
        <v>0</v>
      </c>
      <c r="J355" s="37">
        <f t="shared" si="111"/>
        <v>0</v>
      </c>
    </row>
    <row r="356" spans="1:10" x14ac:dyDescent="0.3">
      <c r="A356" s="20">
        <v>46043</v>
      </c>
      <c r="B356" s="1"/>
      <c r="C356" s="3"/>
      <c r="D356" s="4"/>
      <c r="E356" s="5">
        <f t="shared" si="136"/>
        <v>0</v>
      </c>
      <c r="F356" s="6">
        <f t="shared" si="137"/>
        <v>0</v>
      </c>
      <c r="G356" s="4"/>
      <c r="H356" s="4"/>
      <c r="I356" s="7">
        <f t="shared" si="138"/>
        <v>0</v>
      </c>
      <c r="J356" s="37">
        <f t="shared" si="111"/>
        <v>0</v>
      </c>
    </row>
    <row r="357" spans="1:10" x14ac:dyDescent="0.3">
      <c r="A357" s="20">
        <v>46044</v>
      </c>
      <c r="B357" s="1"/>
      <c r="C357" s="3"/>
      <c r="D357" s="4"/>
      <c r="E357" s="5">
        <f t="shared" si="136"/>
        <v>0</v>
      </c>
      <c r="F357" s="6">
        <f t="shared" si="137"/>
        <v>0</v>
      </c>
      <c r="G357" s="4"/>
      <c r="H357" s="4"/>
      <c r="I357" s="7">
        <f t="shared" si="138"/>
        <v>0</v>
      </c>
      <c r="J357" s="37">
        <f t="shared" si="111"/>
        <v>0</v>
      </c>
    </row>
    <row r="358" spans="1:10" x14ac:dyDescent="0.3">
      <c r="A358" s="20">
        <v>46045</v>
      </c>
      <c r="B358" s="1"/>
      <c r="C358" s="3"/>
      <c r="D358" s="4"/>
      <c r="E358" s="5">
        <f t="shared" si="136"/>
        <v>0</v>
      </c>
      <c r="F358" s="6">
        <f t="shared" si="137"/>
        <v>0</v>
      </c>
      <c r="G358" s="4"/>
      <c r="H358" s="4"/>
      <c r="I358" s="7">
        <f t="shared" si="138"/>
        <v>0</v>
      </c>
      <c r="J358" s="37">
        <f t="shared" si="111"/>
        <v>0</v>
      </c>
    </row>
    <row r="359" spans="1:10" x14ac:dyDescent="0.3">
      <c r="A359" s="20">
        <v>46046</v>
      </c>
      <c r="B359" s="1"/>
      <c r="C359" s="3"/>
      <c r="D359" s="4"/>
      <c r="E359" s="5">
        <f t="shared" si="136"/>
        <v>0</v>
      </c>
      <c r="F359" s="6">
        <f t="shared" si="137"/>
        <v>0</v>
      </c>
      <c r="G359" s="4"/>
      <c r="H359" s="4"/>
      <c r="I359" s="7">
        <f t="shared" si="138"/>
        <v>0</v>
      </c>
      <c r="J359" s="37">
        <f t="shared" si="111"/>
        <v>0</v>
      </c>
    </row>
    <row r="360" spans="1:10" x14ac:dyDescent="0.3">
      <c r="A360" s="20">
        <v>46047</v>
      </c>
      <c r="B360" s="1"/>
      <c r="C360" s="3"/>
      <c r="D360" s="4"/>
      <c r="E360" s="5">
        <f t="shared" si="136"/>
        <v>0</v>
      </c>
      <c r="F360" s="6">
        <f t="shared" si="137"/>
        <v>0</v>
      </c>
      <c r="G360" s="4"/>
      <c r="H360" s="4"/>
      <c r="I360" s="7">
        <f t="shared" si="138"/>
        <v>0</v>
      </c>
      <c r="J360" s="37">
        <f t="shared" si="111"/>
        <v>0</v>
      </c>
    </row>
    <row r="361" spans="1:10" x14ac:dyDescent="0.3">
      <c r="A361" s="20">
        <v>46048</v>
      </c>
      <c r="B361" s="1">
        <v>216</v>
      </c>
      <c r="C361" s="3">
        <f t="shared" ref="C361:C362" si="139">B361/10</f>
        <v>21.6</v>
      </c>
      <c r="D361" s="4">
        <v>4.3899999999999997</v>
      </c>
      <c r="E361" s="5">
        <f t="shared" si="136"/>
        <v>94.823999999999998</v>
      </c>
      <c r="F361" s="6">
        <f t="shared" si="137"/>
        <v>28.080000000000002</v>
      </c>
      <c r="G361" s="4">
        <v>174.51</v>
      </c>
      <c r="H361" s="4">
        <v>119.84</v>
      </c>
      <c r="I361" s="7">
        <f t="shared" si="138"/>
        <v>122.904</v>
      </c>
      <c r="J361" s="37">
        <f t="shared" si="111"/>
        <v>171.44600000000003</v>
      </c>
    </row>
    <row r="362" spans="1:10" x14ac:dyDescent="0.3">
      <c r="A362" s="20">
        <v>46049</v>
      </c>
      <c r="B362" s="1">
        <v>165.7</v>
      </c>
      <c r="C362" s="3">
        <f t="shared" si="139"/>
        <v>16.57</v>
      </c>
      <c r="D362" s="4">
        <v>4.1900000000000004</v>
      </c>
      <c r="E362" s="5">
        <f t="shared" si="136"/>
        <v>69.428300000000007</v>
      </c>
      <c r="F362" s="6">
        <f t="shared" si="137"/>
        <v>21.541</v>
      </c>
      <c r="G362" s="4">
        <v>153.94999999999999</v>
      </c>
      <c r="H362" s="4">
        <v>90.41</v>
      </c>
      <c r="I362" s="7">
        <f t="shared" si="138"/>
        <v>90.969300000000004</v>
      </c>
      <c r="J362" s="37">
        <f t="shared" si="111"/>
        <v>153.39069999999998</v>
      </c>
    </row>
    <row r="363" spans="1:10" x14ac:dyDescent="0.3">
      <c r="A363" s="20">
        <v>46050</v>
      </c>
      <c r="B363" s="1">
        <v>170</v>
      </c>
      <c r="C363" s="3">
        <f t="shared" ref="C363:C368" si="140">B363/10</f>
        <v>17</v>
      </c>
      <c r="D363" s="4">
        <v>4.3899999999999997</v>
      </c>
      <c r="E363" s="5">
        <f t="shared" ref="E363:E368" si="141">C363*D363</f>
        <v>74.63</v>
      </c>
      <c r="F363" s="6">
        <f t="shared" ref="F363:F368" si="142">B363*0.13</f>
        <v>22.1</v>
      </c>
      <c r="G363" s="4">
        <v>42.63</v>
      </c>
      <c r="H363" s="4">
        <v>205.84</v>
      </c>
      <c r="I363" s="7">
        <f t="shared" ref="I363:I368" si="143">E363+F363</f>
        <v>96.72999999999999</v>
      </c>
      <c r="J363" s="37">
        <f t="shared" si="111"/>
        <v>151.74</v>
      </c>
    </row>
    <row r="364" spans="1:10" x14ac:dyDescent="0.3">
      <c r="A364" s="20">
        <v>46051</v>
      </c>
      <c r="B364" s="1">
        <v>155</v>
      </c>
      <c r="C364" s="3">
        <f t="shared" si="140"/>
        <v>15.5</v>
      </c>
      <c r="D364" s="4">
        <v>4.3899999999999997</v>
      </c>
      <c r="E364" s="5">
        <f t="shared" si="141"/>
        <v>68.045000000000002</v>
      </c>
      <c r="F364" s="6">
        <f t="shared" si="142"/>
        <v>20.150000000000002</v>
      </c>
      <c r="G364" s="4">
        <v>121.46</v>
      </c>
      <c r="H364" s="4">
        <v>105.72</v>
      </c>
      <c r="I364" s="7">
        <f t="shared" si="143"/>
        <v>88.195000000000007</v>
      </c>
      <c r="J364" s="37">
        <f t="shared" si="111"/>
        <v>138.98500000000001</v>
      </c>
    </row>
    <row r="365" spans="1:10" x14ac:dyDescent="0.3">
      <c r="A365" s="20">
        <v>46052</v>
      </c>
      <c r="B365" s="1">
        <v>185</v>
      </c>
      <c r="C365" s="3">
        <f t="shared" si="140"/>
        <v>18.5</v>
      </c>
      <c r="D365" s="4">
        <v>4.3899999999999997</v>
      </c>
      <c r="E365" s="5">
        <f t="shared" si="141"/>
        <v>81.214999999999989</v>
      </c>
      <c r="F365" s="6">
        <f t="shared" si="142"/>
        <v>24.05</v>
      </c>
      <c r="G365" s="4">
        <v>173.87</v>
      </c>
      <c r="H365" s="4">
        <v>91.2</v>
      </c>
      <c r="I365" s="7">
        <f t="shared" si="143"/>
        <v>105.26499999999999</v>
      </c>
      <c r="J365" s="37">
        <f t="shared" si="111"/>
        <v>159.80500000000001</v>
      </c>
    </row>
    <row r="366" spans="1:10" x14ac:dyDescent="0.3">
      <c r="A366" s="20">
        <v>46053</v>
      </c>
      <c r="B366" s="1"/>
      <c r="C366" s="3"/>
      <c r="D366" s="4"/>
      <c r="E366" s="5">
        <f t="shared" si="141"/>
        <v>0</v>
      </c>
      <c r="F366" s="6">
        <f t="shared" si="142"/>
        <v>0</v>
      </c>
      <c r="G366" s="4"/>
      <c r="H366" s="4"/>
      <c r="I366" s="7">
        <f t="shared" si="143"/>
        <v>0</v>
      </c>
      <c r="J366" s="37">
        <f t="shared" si="111"/>
        <v>0</v>
      </c>
    </row>
    <row r="367" spans="1:10" x14ac:dyDescent="0.3">
      <c r="A367" s="20">
        <v>46054</v>
      </c>
      <c r="B367" s="1"/>
      <c r="C367" s="3"/>
      <c r="D367" s="4"/>
      <c r="E367" s="5">
        <f t="shared" si="141"/>
        <v>0</v>
      </c>
      <c r="F367" s="6">
        <f t="shared" si="142"/>
        <v>0</v>
      </c>
      <c r="G367" s="4"/>
      <c r="H367" s="4"/>
      <c r="I367" s="7">
        <f t="shared" si="143"/>
        <v>0</v>
      </c>
      <c r="J367" s="37">
        <f t="shared" ref="J367:J368" si="144">G367+H367-I367</f>
        <v>0</v>
      </c>
    </row>
    <row r="368" spans="1:10" x14ac:dyDescent="0.3">
      <c r="A368" s="20">
        <v>46055</v>
      </c>
      <c r="B368" s="1">
        <v>195</v>
      </c>
      <c r="C368" s="3">
        <f t="shared" si="140"/>
        <v>19.5</v>
      </c>
      <c r="D368" s="4">
        <v>4.3899999999999997</v>
      </c>
      <c r="E368" s="5">
        <f t="shared" si="141"/>
        <v>85.60499999999999</v>
      </c>
      <c r="F368" s="6">
        <f t="shared" si="142"/>
        <v>25.35</v>
      </c>
      <c r="G368" s="4">
        <v>205.29</v>
      </c>
      <c r="H368" s="4">
        <v>124</v>
      </c>
      <c r="I368" s="7">
        <f t="shared" si="143"/>
        <v>110.95499999999998</v>
      </c>
      <c r="J368" s="37">
        <f t="shared" si="144"/>
        <v>218.33499999999998</v>
      </c>
    </row>
  </sheetData>
  <conditionalFormatting sqref="J36 J34 J44:J60 B44:I44 B37:J43 J32 J25:J29 J2:J23">
    <cfRule type="colorScale" priority="2">
      <colorScale>
        <cfvo type="num" val="0"/>
        <cfvo type="num" val="190"/>
        <color rgb="FFFF0000"/>
        <color rgb="FF00B050"/>
      </colorScale>
    </cfRule>
  </conditionalFormatting>
  <conditionalFormatting sqref="J61:J64 J67:J80 J82:J368">
    <cfRule type="colorScale" priority="1">
      <colorScale>
        <cfvo type="num" val="0"/>
        <cfvo type="num" val="190"/>
        <color rgb="FFFF0000"/>
        <color theme="9" tint="0.39997558519241921"/>
      </colorScale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2025-08-01T16:08:04Z</dcterms:created>
  <dcterms:modified xsi:type="dcterms:W3CDTF">2026-02-02T21:03:38Z</dcterms:modified>
</cp:coreProperties>
</file>